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门店确认" sheetId="2" state="visible" r:id="rId2"/>
    <sheet xmlns:r="http://schemas.openxmlformats.org/officeDocument/2006/relationships" name="30天训练" sheetId="3" state="visible" r:id="rId3"/>
    <sheet xmlns:r="http://schemas.openxmlformats.org/officeDocument/2006/relationships" name="拍摄排期" sheetId="4" state="visible" r:id="rId4"/>
    <sheet xmlns:r="http://schemas.openxmlformats.org/officeDocument/2006/relationships" name="分镜模板" sheetId="5" state="visible" r:id="rId5"/>
    <sheet xmlns:r="http://schemas.openxmlformats.org/officeDocument/2006/relationships" name="产品事实卡" sheetId="6" state="visible" r:id="rId6"/>
    <sheet xmlns:r="http://schemas.openxmlformats.org/officeDocument/2006/relationships" name="选题库" sheetId="7" state="visible" r:id="rId7"/>
    <sheet xmlns:r="http://schemas.openxmlformats.org/officeDocument/2006/relationships" name="店总拍摄单" sheetId="8" state="visible" r:id="rId8"/>
    <sheet xmlns:r="http://schemas.openxmlformats.org/officeDocument/2006/relationships" name="发布复盘" sheetId="9" state="visible" r:id="rId9"/>
    <sheet xmlns:r="http://schemas.openxmlformats.org/officeDocument/2006/relationships" name="线索协作" sheetId="10" state="visible" r:id="rId10"/>
    <sheet xmlns:r="http://schemas.openxmlformats.org/officeDocument/2006/relationships" name="案例核验" sheetId="11" state="visible" r:id="rId11"/>
    <sheet xmlns:r="http://schemas.openxmlformats.org/officeDocument/2006/relationships" name="搜索入口" sheetId="12" state="visible" r:id="rId12"/>
    <sheet xmlns:r="http://schemas.openxmlformats.org/officeDocument/2006/relationships" name="音乐台账" sheetId="13" state="visible" r:id="rId13"/>
    <sheet xmlns:r="http://schemas.openxmlformats.org/officeDocument/2006/relationships" name="周复盘" sheetId="14" state="visible" r:id="rId14"/>
  </sheets>
  <definedNames>
    <definedName name="_xlnm._FilterDatabase" localSheetId="0" hidden="1">'使用说明'!$A$1:$B$19</definedName>
    <definedName name="_xlnm.Print_Titles" localSheetId="0">'使用说明'!$1:$1</definedName>
    <definedName name="_xlnm._FilterDatabase" localSheetId="1" hidden="1">'门店确认'!$A$1:$F$15</definedName>
    <definedName name="_xlnm.Print_Titles" localSheetId="1">'门店确认'!$1:$1</definedName>
    <definedName name="_xlnm._FilterDatabase" localSheetId="2" hidden="1">'30天训练'!$A$1:$H$31</definedName>
    <definedName name="_xlnm.Print_Titles" localSheetId="2">'30天训练'!$1:$1</definedName>
    <definedName name="_xlnm._FilterDatabase" localSheetId="3" hidden="1">'拍摄排期'!$A$1:$M$31</definedName>
    <definedName name="_xlnm.Print_Titles" localSheetId="3">'拍摄排期'!$1:$1</definedName>
    <definedName name="_xlnm._FilterDatabase" localSheetId="4" hidden="1">'分镜模板'!$A$1:$I$51</definedName>
    <definedName name="_xlnm.Print_Titles" localSheetId="4">'分镜模板'!$1:$1</definedName>
    <definedName name="_xlnm._FilterDatabase" localSheetId="5" hidden="1">'产品事实卡'!$A$1:$J$31</definedName>
    <definedName name="_xlnm.Print_Titles" localSheetId="5">'产品事实卡'!$1:$1</definedName>
    <definedName name="_xlnm._FilterDatabase" localSheetId="6" hidden="1">'选题库'!$A$1:$L$25</definedName>
    <definedName name="_xlnm.Print_Titles" localSheetId="6">'选题库'!$1:$1</definedName>
    <definedName name="_xlnm._FilterDatabase" localSheetId="7" hidden="1">'店总拍摄单'!$A$1:$M$21</definedName>
    <definedName name="_xlnm.Print_Titles" localSheetId="7">'店总拍摄单'!$1:$1</definedName>
    <definedName name="_xlnm._FilterDatabase" localSheetId="8" hidden="1">'发布复盘'!$A$1:$AB$101</definedName>
    <definedName name="_xlnm.Print_Titles" localSheetId="8">'发布复盘'!$1:$1</definedName>
    <definedName name="_xlnm._FilterDatabase" localSheetId="9" hidden="1">'线索协作'!$A$1:$M$31</definedName>
    <definedName name="_xlnm.Print_Titles" localSheetId="9">'线索协作'!$1:$1</definedName>
    <definedName name="_xlnm._FilterDatabase" localSheetId="10" hidden="1">'案例核验'!$A$1:$R$41</definedName>
    <definedName name="_xlnm.Print_Titles" localSheetId="10">'案例核验'!$1:$1</definedName>
    <definedName name="_xlnm._FilterDatabase" localSheetId="11" hidden="1">'搜索入口'!$A$1:$F$65</definedName>
    <definedName name="_xlnm.Print_Titles" localSheetId="11">'搜索入口'!$1:$1</definedName>
    <definedName name="_xlnm._FilterDatabase" localSheetId="12" hidden="1">'音乐台账'!$A$1:$M$31</definedName>
    <definedName name="_xlnm.Print_Titles" localSheetId="12">'音乐台账'!$1:$1</definedName>
    <definedName name="_xlnm._FilterDatabase" localSheetId="13" hidden="1">'周复盘'!$A$1:$J$13</definedName>
    <definedName name="_xlnm.Print_Titles" localSheetId="13">'周复盘'!$1:$1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73A5E"/>
      </patternFill>
    </fill>
    <fill>
      <patternFill patternType="solid">
        <fgColor rgb="00EDF4FA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bottom style="thin">
        <color rgb="00D7E1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说明</author>
  </authors>
  <commentList>
    <comment ref="Q1" authorId="0" shapeId="0">
      <text>
        <t>仅记录可服务范围内有明确需求的去重咨询；需要内容归因证据，不可见留空。</t>
      </text>
    </comment>
    <comment ref="S1" authorId="0" shapeId="0">
      <text>
        <t>与本行7日预约对应的同批预约，截至采集日已到期；未来预约不计失败。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douyin.com/search/%E5%90%89%E5%88%A9%E9%93%B6%E6%B2%B3%20%E4%BD%9B%E5%B1%B1" TargetMode="External" Id="rId1"/><Relationship Type="http://schemas.openxmlformats.org/officeDocument/2006/relationships/hyperlink" Target="https://www.xiaohongshu.com/search_result?keyword=%E5%90%89%E5%88%A9%E9%93%B6%E6%B2%B3%20%E4%BD%9B%E5%B1%B1" TargetMode="External" Id="rId2"/><Relationship Type="http://schemas.openxmlformats.org/officeDocument/2006/relationships/hyperlink" Target="https://search.bilibili.com/all?keyword=%E5%90%89%E5%88%A9%E9%93%B6%E6%B2%B3%20%E4%BD%9B%E5%B1%B1" TargetMode="External" Id="rId3"/><Relationship Type="http://schemas.openxmlformats.org/officeDocument/2006/relationships/hyperlink" Target="https://www.douyin.com/search/%E6%96%B0%E8%83%BD%E6%BA%90%E6%B1%BD%E8%BD%A6%20%E6%B2%A1%E6%9C%89%E5%AE%B6%E5%85%85" TargetMode="External" Id="rId4"/><Relationship Type="http://schemas.openxmlformats.org/officeDocument/2006/relationships/hyperlink" Target="https://www.xiaohongshu.com/search_result?keyword=%E6%96%B0%E8%83%BD%E6%BA%90%E6%B1%BD%E8%BD%A6%20%E6%B2%A1%E6%9C%89%E5%AE%B6%E5%85%85" TargetMode="External" Id="rId5"/><Relationship Type="http://schemas.openxmlformats.org/officeDocument/2006/relationships/hyperlink" Target="https://search.bilibili.com/all?keyword=%E6%96%B0%E8%83%BD%E6%BA%90%E6%B1%BD%E8%BD%A6%20%E6%B2%A1%E6%9C%89%E5%AE%B6%E5%85%85" TargetMode="External" Id="rId6"/><Relationship Type="http://schemas.openxmlformats.org/officeDocument/2006/relationships/hyperlink" Target="https://www.douyin.com/search/%E6%B1%BD%E8%BD%A6%20%E5%90%8E%E5%A4%87%E5%8E%A2%20%E5%A9%B4%E5%84%BF%E8%BD%A6" TargetMode="External" Id="rId7"/><Relationship Type="http://schemas.openxmlformats.org/officeDocument/2006/relationships/hyperlink" Target="https://www.xiaohongshu.com/search_result?keyword=%E6%B1%BD%E8%BD%A6%20%E5%90%8E%E5%A4%87%E5%8E%A2%20%E5%A9%B4%E5%84%BF%E8%BD%A6" TargetMode="External" Id="rId8"/><Relationship Type="http://schemas.openxmlformats.org/officeDocument/2006/relationships/hyperlink" Target="https://search.bilibili.com/all?keyword=%E6%B1%BD%E8%BD%A6%20%E5%90%8E%E5%A4%87%E5%8E%A2%20%E5%A9%B4%E5%84%BF%E8%BD%A6" TargetMode="External" Id="rId9"/><Relationship Type="http://schemas.openxmlformats.org/officeDocument/2006/relationships/hyperlink" Target="https://www.douyin.com/search/%E6%96%B0%E8%83%BD%E6%BA%90%E6%B1%BD%E8%BD%A6%20%E9%80%9A%E5%8B%A4%E6%88%90%E6%9C%AC" TargetMode="External" Id="rId10"/><Relationship Type="http://schemas.openxmlformats.org/officeDocument/2006/relationships/hyperlink" Target="https://www.xiaohongshu.com/search_result?keyword=%E6%96%B0%E8%83%BD%E6%BA%90%E6%B1%BD%E8%BD%A6%20%E9%80%9A%E5%8B%A4%E6%88%90%E6%9C%AC" TargetMode="External" Id="rId11"/><Relationship Type="http://schemas.openxmlformats.org/officeDocument/2006/relationships/hyperlink" Target="https://search.bilibili.com/all?keyword=%E6%96%B0%E8%83%BD%E6%BA%90%E6%B1%BD%E8%BD%A6%20%E9%80%9A%E5%8B%A4%E6%88%90%E6%9C%AC" TargetMode="External" Id="rId12"/><Relationship Type="http://schemas.openxmlformats.org/officeDocument/2006/relationships/hyperlink" Target="https://www.douyin.com/search/%E6%B1%BD%E8%BD%A6%20%E9%A6%96%E6%AC%A1%E8%AF%95%E9%A9%BE" TargetMode="External" Id="rId13"/><Relationship Type="http://schemas.openxmlformats.org/officeDocument/2006/relationships/hyperlink" Target="https://www.xiaohongshu.com/search_result?keyword=%E6%B1%BD%E8%BD%A6%20%E9%A6%96%E6%AC%A1%E8%AF%95%E9%A9%BE" TargetMode="External" Id="rId14"/><Relationship Type="http://schemas.openxmlformats.org/officeDocument/2006/relationships/hyperlink" Target="https://search.bilibili.com/all?keyword=%E6%B1%BD%E8%BD%A6%20%E9%A6%96%E6%AC%A1%E8%AF%95%E9%A9%BE" TargetMode="External" Id="rId15"/><Relationship Type="http://schemas.openxmlformats.org/officeDocument/2006/relationships/hyperlink" Target="https://www.douyin.com/search/%E6%B1%BD%E8%BD%A6%20%E7%89%88%E6%9C%AC%E5%8C%BA%E5%88%AB" TargetMode="External" Id="rId16"/><Relationship Type="http://schemas.openxmlformats.org/officeDocument/2006/relationships/hyperlink" Target="https://www.xiaohongshu.com/search_result?keyword=%E6%B1%BD%E8%BD%A6%20%E7%89%88%E6%9C%AC%E5%8C%BA%E5%88%AB" TargetMode="External" Id="rId17"/><Relationship Type="http://schemas.openxmlformats.org/officeDocument/2006/relationships/hyperlink" Target="https://search.bilibili.com/all?keyword=%E6%B1%BD%E8%BD%A6%20%E7%89%88%E6%9C%AC%E5%8C%BA%E5%88%AB" TargetMode="External" Id="rId18"/><Relationship Type="http://schemas.openxmlformats.org/officeDocument/2006/relationships/hyperlink" Target="https://www.douyin.com/search/%E6%B1%BD%E8%BD%A6%20%E8%BD%A6%E6%9C%BA%20%E6%95%99%E7%A8%8B" TargetMode="External" Id="rId19"/><Relationship Type="http://schemas.openxmlformats.org/officeDocument/2006/relationships/hyperlink" Target="https://www.xiaohongshu.com/search_result?keyword=%E6%B1%BD%E8%BD%A6%20%E8%BD%A6%E6%9C%BA%20%E6%95%99%E7%A8%8B" TargetMode="External" Id="rId20"/><Relationship Type="http://schemas.openxmlformats.org/officeDocument/2006/relationships/hyperlink" Target="https://search.bilibili.com/all?keyword=%E6%B1%BD%E8%BD%A6%20%E8%BD%A6%E6%9C%BA%20%E6%95%99%E7%A8%8B" TargetMode="External" Id="rId21"/><Relationship Type="http://schemas.openxmlformats.org/officeDocument/2006/relationships/hyperlink" Target="https://www.douyin.com/search/%E6%B1%BD%E8%BD%A6%20%E5%BA%97%E6%80%BB" TargetMode="External" Id="rId22"/><Relationship Type="http://schemas.openxmlformats.org/officeDocument/2006/relationships/hyperlink" Target="https://www.xiaohongshu.com/search_result?keyword=%E6%B1%BD%E8%BD%A6%20%E5%BA%97%E6%80%BB" TargetMode="External" Id="rId23"/><Relationship Type="http://schemas.openxmlformats.org/officeDocument/2006/relationships/hyperlink" Target="https://search.bilibili.com/all?keyword=%E6%B1%BD%E8%BD%A6%20%E5%BA%97%E6%80%BB" TargetMode="External" Id="rId24"/><Relationship Type="http://schemas.openxmlformats.org/officeDocument/2006/relationships/hyperlink" Target="https://www.douyin.com/search/4S%E5%BA%97%20%E6%80%BB%E7%BB%8F%E7%90%86%20%E4%B9%B0%E8%BD%A6" TargetMode="External" Id="rId25"/><Relationship Type="http://schemas.openxmlformats.org/officeDocument/2006/relationships/hyperlink" Target="https://www.xiaohongshu.com/search_result?keyword=4S%E5%BA%97%20%E6%80%BB%E7%BB%8F%E7%90%86%20%E4%B9%B0%E8%BD%A6" TargetMode="External" Id="rId26"/><Relationship Type="http://schemas.openxmlformats.org/officeDocument/2006/relationships/hyperlink" Target="https://search.bilibili.com/all?keyword=4S%E5%BA%97%20%E6%80%BB%E7%BB%8F%E7%90%86%20%E4%B9%B0%E8%BD%A6" TargetMode="External" Id="rId27"/><Relationship Type="http://schemas.openxmlformats.org/officeDocument/2006/relationships/hyperlink" Target="https://www.douyin.com/search/%E6%B1%BD%E8%BD%A6%20%E9%97%A8%E5%BA%97%20%E8%AF%95%E9%A9%BE%E5%87%86%E5%A4%87" TargetMode="External" Id="rId28"/><Relationship Type="http://schemas.openxmlformats.org/officeDocument/2006/relationships/hyperlink" Target="https://www.xiaohongshu.com/search_result?keyword=%E6%B1%BD%E8%BD%A6%20%E9%97%A8%E5%BA%97%20%E8%AF%95%E9%A9%BE%E5%87%86%E5%A4%87" TargetMode="External" Id="rId29"/><Relationship Type="http://schemas.openxmlformats.org/officeDocument/2006/relationships/hyperlink" Target="https://search.bilibili.com/all?keyword=%E6%B1%BD%E8%BD%A6%20%E9%97%A8%E5%BA%97%20%E8%AF%95%E9%A9%BE%E5%87%86%E5%A4%87" TargetMode="External" Id="rId30"/><Relationship Type="http://schemas.openxmlformats.org/officeDocument/2006/relationships/hyperlink" Target="https://www.douyin.com/search/%E6%B1%BD%E8%BD%A6%20%E5%AE%9E%E4%B9%A0%E7%94%9F%20%E6%97%A5%E8%AE%B0" TargetMode="External" Id="rId31"/><Relationship Type="http://schemas.openxmlformats.org/officeDocument/2006/relationships/hyperlink" Target="https://www.xiaohongshu.com/search_result?keyword=%E6%B1%BD%E8%BD%A6%20%E5%AE%9E%E4%B9%A0%E7%94%9F%20%E6%97%A5%E8%AE%B0" TargetMode="External" Id="rId32"/><Relationship Type="http://schemas.openxmlformats.org/officeDocument/2006/relationships/hyperlink" Target="https://search.bilibili.com/all?keyword=%E6%B1%BD%E8%BD%A6%20%E5%AE%9E%E4%B9%A0%E7%94%9F%20%E6%97%A5%E8%AE%B0" TargetMode="External" Id="rId33"/><Relationship Type="http://schemas.openxmlformats.org/officeDocument/2006/relationships/hyperlink" Target="https://www.douyin.com/search/%E4%BD%9B%E5%B1%B1%20%E6%B1%BD%E8%BD%A6%20%E9%80%89%E8%BD%A6" TargetMode="External" Id="rId34"/><Relationship Type="http://schemas.openxmlformats.org/officeDocument/2006/relationships/hyperlink" Target="https://www.xiaohongshu.com/search_result?keyword=%E4%BD%9B%E5%B1%B1%20%E6%B1%BD%E8%BD%A6%20%E9%80%89%E8%BD%A6" TargetMode="External" Id="rId35"/><Relationship Type="http://schemas.openxmlformats.org/officeDocument/2006/relationships/hyperlink" Target="https://search.bilibili.com/all?keyword=%E4%BD%9B%E5%B1%B1%20%E6%B1%BD%E8%BD%A6%20%E9%80%89%E8%BD%A6" TargetMode="External" Id="rId36"/><Relationship Type="http://schemas.openxmlformats.org/officeDocument/2006/relationships/hyperlink" Target="https://www.douyin.com/search/%E6%B1%BD%E8%BD%A6%20%E9%9B%A8%E5%A4%A9%20%E7%94%A8%E8%BD%A6" TargetMode="External" Id="rId37"/><Relationship Type="http://schemas.openxmlformats.org/officeDocument/2006/relationships/hyperlink" Target="https://www.xiaohongshu.com/search_result?keyword=%E6%B1%BD%E8%BD%A6%20%E9%9B%A8%E5%A4%A9%20%E7%94%A8%E8%BD%A6" TargetMode="External" Id="rId38"/><Relationship Type="http://schemas.openxmlformats.org/officeDocument/2006/relationships/hyperlink" Target="https://search.bilibili.com/all?keyword=%E6%B1%BD%E8%BD%A6%20%E9%9B%A8%E5%A4%A9%20%E7%94%A8%E8%BD%A6" TargetMode="External" Id="rId39"/><Relationship Type="http://schemas.openxmlformats.org/officeDocument/2006/relationships/hyperlink" Target="https://www.douyin.com/search/%E5%90%89%E5%88%A9%E9%93%B6%E6%B2%B3%20%E8%BD%A6%E5%9E%8B%20%E9%85%8D%E7%BD%AE" TargetMode="External" Id="rId40"/><Relationship Type="http://schemas.openxmlformats.org/officeDocument/2006/relationships/hyperlink" Target="https://www.xiaohongshu.com/search_result?keyword=%E5%90%89%E5%88%A9%E9%93%B6%E6%B2%B3%20%E8%BD%A6%E5%9E%8B%20%E9%85%8D%E7%BD%AE" TargetMode="External" Id="rId41"/><Relationship Type="http://schemas.openxmlformats.org/officeDocument/2006/relationships/hyperlink" Target="https://search.bilibili.com/all?keyword=%E5%90%89%E5%88%A9%E9%93%B6%E6%B2%B3%20%E8%BD%A6%E5%9E%8B%20%E9%85%8D%E7%BD%AE" TargetMode="External" Id="rId42"/><Relationship Type="http://schemas.openxmlformats.org/officeDocument/2006/relationships/hyperlink" Target="https://www.douyin.com/search/%E6%B1%BD%E8%BD%A6%20%E6%96%B0%E6%89%8B%20%E5%81%9C%E8%BD%A6" TargetMode="External" Id="rId43"/><Relationship Type="http://schemas.openxmlformats.org/officeDocument/2006/relationships/hyperlink" Target="https://www.xiaohongshu.com/search_result?keyword=%E6%B1%BD%E8%BD%A6%20%E6%96%B0%E6%89%8B%20%E5%81%9C%E8%BD%A6" TargetMode="External" Id="rId44"/><Relationship Type="http://schemas.openxmlformats.org/officeDocument/2006/relationships/hyperlink" Target="https://search.bilibili.com/all?keyword=%E6%B1%BD%E8%BD%A6%20%E6%96%B0%E6%89%8B%20%E5%81%9C%E8%BD%A6" TargetMode="External" Id="rId45"/><Relationship Type="http://schemas.openxmlformats.org/officeDocument/2006/relationships/hyperlink" Target="https://www.douyin.com/search/%E6%B1%BD%E8%BD%A6%20%E5%BA%97%E6%80%BB%20%E6%9C%8D%E5%8A%A1" TargetMode="External" Id="rId46"/><Relationship Type="http://schemas.openxmlformats.org/officeDocument/2006/relationships/hyperlink" Target="https://www.xiaohongshu.com/search_result?keyword=%E6%B1%BD%E8%BD%A6%20%E5%BA%97%E6%80%BB%20%E6%9C%8D%E5%8A%A1" TargetMode="External" Id="rId47"/><Relationship Type="http://schemas.openxmlformats.org/officeDocument/2006/relationships/hyperlink" Target="https://search.bilibili.com/all?keyword=%E6%B1%BD%E8%BD%A6%20%E5%BA%97%E6%80%BB%20%E6%9C%8D%E5%8A%A1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0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40" customHeight="1">
      <c r="A2" s="2" t="inlineStr">
        <is>
          <t>对象与职责</t>
        </is>
      </c>
      <c r="B2" s="2" t="inlineStr">
        <is>
          <t>拍摄实习生：抖音、小红书、视频号、店总视频号；B站仅研究。</t>
        </is>
      </c>
    </row>
    <row r="3" ht="40" customHeight="1">
      <c r="A3" s="3" t="inlineStr">
        <is>
          <t>日期</t>
        </is>
      </c>
      <c r="B3" s="3" t="inlineStr">
        <is>
          <t>2026-10-08；近30日案例窗口2026-09-09至2026-10-08。</t>
        </is>
      </c>
    </row>
    <row r="4" ht="40" customHeight="1">
      <c r="A4" s="2" t="inlineStr">
        <is>
          <t>数据状态</t>
        </is>
      </c>
      <c r="B4" s="2" t="inlineStr">
        <is>
          <t>空白=未获取，0=已核实为零。建议任务不代表已完成。</t>
        </is>
      </c>
    </row>
    <row r="5" ht="40" customHeight="1">
      <c r="A5" s="3" t="inlineStr">
        <is>
          <t>热度状态</t>
        </is>
      </c>
      <c r="B5" s="3" t="inlineStr">
        <is>
          <t>当前已核验近期爆款0条：网络403导致未采集，不代表没有爆款。</t>
        </is>
      </c>
    </row>
    <row r="6" ht="40" customHeight="1">
      <c r="A6" s="2" t="inlineStr">
        <is>
          <t>候选选题</t>
        </is>
      </c>
      <c r="B6" s="2" t="inlineStr">
        <is>
          <t>选题库是原创创作候选，不是热门排行榜。</t>
        </is>
      </c>
    </row>
    <row r="7" ht="40" customHeight="1">
      <c r="A7" s="3" t="inlineStr">
        <is>
          <t>分工</t>
        </is>
      </c>
      <c r="B7" s="3" t="inlineStr">
        <is>
          <t>发布、直播、私信和成交不是默认追加给拍摄岗的职责。</t>
        </is>
      </c>
    </row>
    <row r="8" ht="40" customHeight="1">
      <c r="A8" s="2" t="inlineStr">
        <is>
          <t>公式</t>
        </is>
      </c>
      <c r="B8" s="2" t="inlineStr">
        <is>
          <t>发布复盘的互动、咨询、预约指标按7日同窗口；到店按同批已到期预约。</t>
        </is>
      </c>
    </row>
    <row r="9" ht="40" customHeight="1">
      <c r="A9" s="3" t="inlineStr">
        <is>
          <t>去重与归因</t>
        </is>
      </c>
      <c r="B9" s="3" t="inlineStr">
        <is>
          <t>内容ID与CRM关联需有实际证据；跨平台客户去重，不能重复加总。</t>
        </is>
      </c>
    </row>
    <row r="10" ht="40" customHeight="1">
      <c r="A10" s="2" t="inlineStr">
        <is>
          <t>互动率</t>
        </is>
      </c>
      <c r="B10" s="2" t="inlineStr">
        <is>
          <t>事件次数之和/播放数，不是独立用户比例，可能超过100%。</t>
        </is>
      </c>
    </row>
    <row r="11" ht="40" customHeight="1">
      <c r="A11" s="3" t="inlineStr">
        <is>
          <t>到店口径</t>
        </is>
      </c>
      <c r="B11" s="3" t="inlineStr">
        <is>
          <t>到店人数仅含同批已到期预约对应的实际到店；未到期预约不算失败。</t>
        </is>
      </c>
    </row>
    <row r="12" ht="40" customHeight="1">
      <c r="A12" s="2" t="inlineStr">
        <is>
          <t>长周期</t>
        </is>
      </c>
      <c r="B12" s="2" t="inlineStr">
        <is>
          <t>成交字段按同批线索截至采集日记录，不等于7日必有成交。</t>
        </is>
      </c>
    </row>
    <row r="13" ht="40" customHeight="1">
      <c r="A13" s="3" t="inlineStr">
        <is>
          <t>自然与付费</t>
        </is>
      </c>
      <c r="B13" s="3" t="inlineStr">
        <is>
          <t>两者分开记录；若平台无法区分，备注混合而不强行计算。</t>
        </is>
      </c>
    </row>
    <row r="14" ht="40" customHeight="1">
      <c r="A14" s="2" t="inlineStr">
        <is>
          <t>个人信息</t>
        </is>
      </c>
      <c r="B14" s="2" t="inlineStr">
        <is>
          <t>线索表只记录CRM编号与状态，不记录姓名、手机号或身份证。</t>
        </is>
      </c>
    </row>
    <row r="15" ht="40" customHeight="1">
      <c r="A15" s="3" t="inlineStr">
        <is>
          <t>训练安排</t>
        </is>
      </c>
      <c r="B15" s="3" t="inlineStr">
        <is>
          <t>30个训练任务按工作日执行，休息日顺延，需主管确认产量。</t>
        </is>
      </c>
    </row>
    <row r="16" ht="40" customHeight="1">
      <c r="A16" s="2" t="inlineStr">
        <is>
          <t>音乐</t>
        </is>
      </c>
      <c r="B16" s="2" t="inlineStr">
        <is>
          <t>跨平台/投放许可分别确认，保留无BGM母版。</t>
        </is>
      </c>
    </row>
    <row r="17" ht="40" customHeight="1">
      <c r="A17" s="3" t="inlineStr">
        <is>
          <t>输入方式</t>
        </is>
      </c>
      <c r="B17" s="3" t="inlineStr">
        <is>
          <t>百分比输入如40%；不可见的后台指标留空并备注。</t>
        </is>
      </c>
    </row>
    <row r="18" ht="40" customHeight="1">
      <c r="A18" s="2" t="inlineStr">
        <is>
          <t>平台规则</t>
        </is>
      </c>
      <c r="B18" s="2" t="inlineStr">
        <is>
          <t>搜索入口和创作字段以当期界面为准，没有完成实时访问核验。</t>
        </is>
      </c>
    </row>
    <row r="19" ht="40" customHeight="1">
      <c r="A19" s="3" t="inlineStr">
        <is>
          <t>作品事实</t>
        </is>
      </c>
      <c r="B19" s="3" t="inlineStr">
        <is>
          <t>每次使用车型、价格、政策前核对对应版本、日期和审批人。</t>
        </is>
      </c>
    </row>
  </sheetData>
  <autoFilter ref="A1:B1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1" ht="34" customHeight="1">
      <c r="A1" s="1" t="inlineStr">
        <is>
          <t>核对事项</t>
        </is>
      </c>
      <c r="B1" s="1" t="inlineStr">
        <is>
          <t>当前答案</t>
        </is>
      </c>
      <c r="C1" s="1" t="inlineStr">
        <is>
          <t>确认人</t>
        </is>
      </c>
      <c r="D1" s="1" t="inlineStr">
        <is>
          <t>日期</t>
        </is>
      </c>
      <c r="E1" s="1" t="inlineStr">
        <is>
          <t>状态</t>
        </is>
      </c>
      <c r="F1" s="1" t="inlineStr">
        <is>
          <t>备注</t>
        </is>
      </c>
    </row>
    <row r="2" ht="40" customHeight="1">
      <c r="A2" s="2" t="inlineStr">
        <is>
          <t>门店正式名称、地址、营业时间与联系方式</t>
        </is>
      </c>
      <c r="B2" s="2" t="inlineStr"/>
      <c r="C2" s="2" t="inlineStr"/>
      <c r="D2" s="2" t="inlineStr"/>
      <c r="E2" s="2" t="inlineStr">
        <is>
          <t>待确认</t>
        </is>
      </c>
      <c r="F2" s="2" t="inlineStr"/>
    </row>
    <row r="3" ht="40" customHeight="1">
      <c r="A3" s="3" t="inlineStr">
        <is>
          <t>账号清单与账号所有者</t>
        </is>
      </c>
      <c r="B3" s="3" t="inlineStr"/>
      <c r="C3" s="3" t="inlineStr"/>
      <c r="D3" s="3" t="inlineStr"/>
      <c r="E3" s="3" t="inlineStr">
        <is>
          <t>待确认</t>
        </is>
      </c>
      <c r="F3" s="3" t="inlineStr"/>
    </row>
    <row r="4" ht="40" customHeight="1">
      <c r="A4" s="2" t="inlineStr">
        <is>
          <t>只拍摄还是含脚本/剪辑/封面</t>
        </is>
      </c>
      <c r="B4" s="2" t="inlineStr"/>
      <c r="C4" s="2" t="inlineStr"/>
      <c r="D4" s="2" t="inlineStr"/>
      <c r="E4" s="2" t="inlineStr">
        <is>
          <t>待确认</t>
        </is>
      </c>
      <c r="F4" s="2" t="inlineStr"/>
    </row>
    <row r="5" ht="40" customHeight="1">
      <c r="A5" s="3" t="inlineStr">
        <is>
          <t>发布与后台数据负责人</t>
        </is>
      </c>
      <c r="B5" s="3" t="inlineStr"/>
      <c r="C5" s="3" t="inlineStr"/>
      <c r="D5" s="3" t="inlineStr"/>
      <c r="E5" s="3" t="inlineStr">
        <is>
          <t>待确认</t>
        </is>
      </c>
      <c r="F5" s="3" t="inlineStr"/>
    </row>
    <row r="6" ht="40" customHeight="1">
      <c r="A6" s="2" t="inlineStr">
        <is>
          <t>店总视频号是否独立账号</t>
        </is>
      </c>
      <c r="B6" s="2" t="inlineStr"/>
      <c r="C6" s="2" t="inlineStr"/>
      <c r="D6" s="2" t="inlineStr"/>
      <c r="E6" s="2" t="inlineStr">
        <is>
          <t>待确认</t>
        </is>
      </c>
      <c r="F6" s="2" t="inlineStr"/>
    </row>
    <row r="7" ht="40" customHeight="1">
      <c r="A7" s="3" t="inlineStr">
        <is>
          <t>店总可用拍摄时间与偏好</t>
        </is>
      </c>
      <c r="B7" s="3" t="inlineStr"/>
      <c r="C7" s="3" t="inlineStr"/>
      <c r="D7" s="3" t="inlineStr"/>
      <c r="E7" s="3" t="inlineStr">
        <is>
          <t>待确认</t>
        </is>
      </c>
      <c r="F7" s="3" t="inlineStr"/>
    </row>
    <row r="8" ht="40" customHeight="1">
      <c r="A8" s="2" t="inlineStr">
        <is>
          <t>车型、版本、试驾车与车辆预约</t>
        </is>
      </c>
      <c r="B8" s="2" t="inlineStr"/>
      <c r="C8" s="2" t="inlineStr"/>
      <c r="D8" s="2" t="inlineStr"/>
      <c r="E8" s="2" t="inlineStr">
        <is>
          <t>待确认</t>
        </is>
      </c>
      <c r="F8" s="2" t="inlineStr"/>
    </row>
    <row r="9" ht="40" customHeight="1">
      <c r="A9" s="3" t="inlineStr">
        <is>
          <t>产品事实与费用政策确认人</t>
        </is>
      </c>
      <c r="B9" s="3" t="inlineStr"/>
      <c r="C9" s="3" t="inlineStr"/>
      <c r="D9" s="3" t="inlineStr"/>
      <c r="E9" s="3" t="inlineStr">
        <is>
          <t>待确认</t>
        </is>
      </c>
      <c r="F9" s="3" t="inlineStr"/>
    </row>
    <row r="10" ht="40" customHeight="1">
      <c r="A10" s="2" t="inlineStr">
        <is>
          <t>内容审核与店总观点确认</t>
        </is>
      </c>
      <c r="B10" s="2" t="inlineStr"/>
      <c r="C10" s="2" t="inlineStr"/>
      <c r="D10" s="2" t="inlineStr"/>
      <c r="E10" s="2" t="inlineStr">
        <is>
          <t>待确认</t>
        </is>
      </c>
      <c r="F10" s="2" t="inlineStr"/>
    </row>
    <row r="11" ht="40" customHeight="1">
      <c r="A11" s="3" t="inlineStr">
        <is>
          <t>预约入口、私信交接和CRM流程</t>
        </is>
      </c>
      <c r="B11" s="3" t="inlineStr"/>
      <c r="C11" s="3" t="inlineStr"/>
      <c r="D11" s="3" t="inlineStr"/>
      <c r="E11" s="3" t="inlineStr">
        <is>
          <t>待确认</t>
        </is>
      </c>
      <c r="F11" s="3" t="inlineStr"/>
    </row>
    <row r="12" ht="40" customHeight="1">
      <c r="A12" s="2" t="inlineStr">
        <is>
          <t>设备、剪辑工具和存储方式</t>
        </is>
      </c>
      <c r="B12" s="2" t="inlineStr"/>
      <c r="C12" s="2" t="inlineStr"/>
      <c r="D12" s="2" t="inlineStr"/>
      <c r="E12" s="2" t="inlineStr">
        <is>
          <t>待确认</t>
        </is>
      </c>
      <c r="F12" s="2" t="inlineStr"/>
    </row>
    <row r="13" ht="40" customHeight="1">
      <c r="A13" s="3" t="inlineStr">
        <is>
          <t>同事与顾客出镜确认流程</t>
        </is>
      </c>
      <c r="B13" s="3" t="inlineStr"/>
      <c r="C13" s="3" t="inlineStr"/>
      <c r="D13" s="3" t="inlineStr"/>
      <c r="E13" s="3" t="inlineStr">
        <is>
          <t>待确认</t>
        </is>
      </c>
      <c r="F13" s="3" t="inlineStr"/>
    </row>
    <row r="14" ht="40" customHeight="1">
      <c r="A14" s="2" t="inlineStr">
        <is>
          <t>品牌素材与音乐授权范围</t>
        </is>
      </c>
      <c r="B14" s="2" t="inlineStr"/>
      <c r="C14" s="2" t="inlineStr"/>
      <c r="D14" s="2" t="inlineStr"/>
      <c r="E14" s="2" t="inlineStr">
        <is>
          <t>待确认</t>
        </is>
      </c>
      <c r="F14" s="2" t="inlineStr"/>
    </row>
    <row r="15" ht="40" customHeight="1">
      <c r="A15" s="3" t="inlineStr">
        <is>
          <t>本月目标与历史数据基线</t>
        </is>
      </c>
      <c r="B15" s="3" t="inlineStr"/>
      <c r="C15" s="3" t="inlineStr"/>
      <c r="D15" s="3" t="inlineStr"/>
      <c r="E15" s="3" t="inlineStr">
        <is>
          <t>待确认</t>
        </is>
      </c>
      <c r="F15" s="3" t="inlineStr"/>
    </row>
  </sheetData>
  <autoFilter ref="A1:F15"/>
  <dataValidations count="1">
    <dataValidation sqref="E2:E100" showDropDown="0" showInputMessage="0" showErrorMessage="1" allowBlank="1" errorTitle="请使用选项或按实际调整模板" error="请选择列表中的状态。" type="list">
      <formula1>"待确认,已确认,不适用"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30" customWidth="1" min="4" max="4"/>
    <col width="36" customWidth="1" min="5" max="5"/>
    <col width="18" customWidth="1" min="6" max="6"/>
    <col width="18" customWidth="1" min="7" max="7"/>
    <col width="40" customWidth="1" min="8" max="8"/>
  </cols>
  <sheetData>
    <row r="1" ht="34" customHeight="1">
      <c r="A1" s="1" t="inlineStr">
        <is>
          <t>任务日</t>
        </is>
      </c>
      <c r="B1" s="1" t="inlineStr">
        <is>
          <t>技能</t>
        </is>
      </c>
      <c r="C1" s="1" t="inlineStr">
        <is>
          <t>具体练习</t>
        </is>
      </c>
      <c r="D1" s="1" t="inlineStr">
        <is>
          <t>交付成果</t>
        </is>
      </c>
      <c r="E1" s="1" t="inlineStr">
        <is>
          <t>验收方式</t>
        </is>
      </c>
      <c r="F1" s="1" t="inlineStr">
        <is>
          <t>实际日期</t>
        </is>
      </c>
      <c r="G1" s="1" t="inlineStr">
        <is>
          <t>状态</t>
        </is>
      </c>
      <c r="H1" s="1" t="inlineStr">
        <is>
          <t>反馈</t>
        </is>
      </c>
    </row>
    <row r="2" ht="40" customHeight="1">
      <c r="A2" s="2" t="n">
        <v>1</v>
      </c>
      <c r="B2" s="2" t="inlineStr">
        <is>
          <t>职责与协作</t>
        </is>
      </c>
      <c r="C2" s="2" t="inlineStr">
        <is>
          <t>与主管确认账号、职责和审批</t>
        </is>
      </c>
      <c r="D2" s="2" t="inlineStr">
        <is>
          <t>门店确认表</t>
        </is>
      </c>
      <c r="E2" s="2" t="inlineStr">
        <is>
          <t>分工被主管确认</t>
        </is>
      </c>
      <c r="F2" s="2" t="inlineStr"/>
      <c r="G2" s="2" t="inlineStr">
        <is>
          <t>未开始</t>
        </is>
      </c>
      <c r="H2" s="2" t="inlineStr"/>
    </row>
    <row r="3" ht="40" customHeight="1">
      <c r="A3" s="3" t="n">
        <v>2</v>
      </c>
      <c r="B3" s="3" t="inlineStr">
        <is>
          <t>产品资料</t>
        </is>
      </c>
      <c r="C3" s="3" t="inlineStr">
        <is>
          <t>找当期车型资料，制作事实卡</t>
        </is>
      </c>
      <c r="D3" s="3" t="inlineStr">
        <is>
          <t>事实卡1张</t>
        </is>
      </c>
      <c r="E3" s="3" t="inlineStr">
        <is>
          <t>来源与版本可追溯</t>
        </is>
      </c>
      <c r="F3" s="3" t="inlineStr"/>
      <c r="G3" s="3" t="inlineStr">
        <is>
          <t>未开始</t>
        </is>
      </c>
      <c r="H3" s="3" t="inlineStr"/>
    </row>
    <row r="4" ht="40" customHeight="1">
      <c r="A4" s="2" t="n">
        <v>3</v>
      </c>
      <c r="B4" s="2" t="inlineStr">
        <is>
          <t>收音</t>
        </is>
      </c>
      <c r="C4" s="2" t="inlineStr">
        <is>
          <t>展厅、车内、室外各试录10秒</t>
        </is>
      </c>
      <c r="D4" s="2" t="inlineStr">
        <is>
          <t>三段录音比较</t>
        </is>
      </c>
      <c r="E4" s="2" t="inlineStr">
        <is>
          <t>人声清楚，找出噪声</t>
        </is>
      </c>
      <c r="F4" s="2" t="inlineStr"/>
      <c r="G4" s="2" t="inlineStr">
        <is>
          <t>未开始</t>
        </is>
      </c>
      <c r="H4" s="2" t="inlineStr"/>
    </row>
    <row r="5" ht="40" customHeight="1">
      <c r="A5" s="3" t="n">
        <v>4</v>
      </c>
      <c r="B5" s="3" t="inlineStr">
        <is>
          <t>曝光与反光</t>
        </is>
      </c>
      <c r="C5" s="3" t="inlineStr">
        <is>
          <t>同一车漆和屏幕换三个机位</t>
        </is>
      </c>
      <c r="D5" s="3" t="inlineStr">
        <is>
          <t>六个对比镜头</t>
        </is>
      </c>
      <c r="E5" s="3" t="inlineStr">
        <is>
          <t>能说明最好机位原因</t>
        </is>
      </c>
      <c r="F5" s="3" t="inlineStr"/>
      <c r="G5" s="3" t="inlineStr">
        <is>
          <t>未开始</t>
        </is>
      </c>
      <c r="H5" s="3" t="inlineStr"/>
    </row>
    <row r="6" ht="40" customHeight="1">
      <c r="A6" s="2" t="n">
        <v>5</v>
      </c>
      <c r="B6" s="2" t="inlineStr">
        <is>
          <t>基础镜头</t>
        </is>
      </c>
      <c r="C6" s="2" t="inlineStr">
        <is>
          <t>拍全景、中景、特写与动作结果</t>
        </is>
      </c>
      <c r="D6" s="2" t="inlineStr">
        <is>
          <t>一套车辆镜头</t>
        </is>
      </c>
      <c r="E6" s="2" t="inlineStr">
        <is>
          <t>核心画面能剪辑</t>
        </is>
      </c>
      <c r="F6" s="2" t="inlineStr"/>
      <c r="G6" s="2" t="inlineStr">
        <is>
          <t>未开始</t>
        </is>
      </c>
      <c r="H6" s="2" t="inlineStr"/>
    </row>
    <row r="7" ht="40" customHeight="1">
      <c r="A7" s="3" t="n">
        <v>6</v>
      </c>
      <c r="B7" s="3" t="inlineStr">
        <is>
          <t>顾客问题</t>
        </is>
      </c>
      <c r="C7" s="3" t="inlineStr">
        <is>
          <t>访谈销售，整理三个真实问题</t>
        </is>
      </c>
      <c r="D7" s="3" t="inlineStr">
        <is>
          <t>问题清单</t>
        </is>
      </c>
      <c r="E7" s="3" t="inlineStr">
        <is>
          <t>不是自想卖点</t>
        </is>
      </c>
      <c r="F7" s="3" t="inlineStr"/>
      <c r="G7" s="3" t="inlineStr">
        <is>
          <t>未开始</t>
        </is>
      </c>
      <c r="H7" s="3" t="inlineStr"/>
    </row>
    <row r="8" ht="40" customHeight="1">
      <c r="A8" s="2" t="n">
        <v>7</v>
      </c>
      <c r="B8" s="2" t="inlineStr">
        <is>
          <t>第一周复盘</t>
        </is>
      </c>
      <c r="C8" s="2" t="inlineStr">
        <is>
          <t>剪或交付练习，盲看测试</t>
        </is>
      </c>
      <c r="D8" s="2" t="inlineStr">
        <is>
          <t>一页复盘</t>
        </is>
      </c>
      <c r="E8" s="2" t="inlineStr">
        <is>
          <t>同事能说出主题</t>
        </is>
      </c>
      <c r="F8" s="2" t="inlineStr"/>
      <c r="G8" s="2" t="inlineStr">
        <is>
          <t>未开始</t>
        </is>
      </c>
      <c r="H8" s="2" t="inlineStr"/>
    </row>
    <row r="9" ht="40" customHeight="1">
      <c r="A9" s="3" t="n">
        <v>8</v>
      </c>
      <c r="B9" s="3" t="inlineStr">
        <is>
          <t>脚本结构</t>
        </is>
      </c>
      <c r="C9" s="3" t="inlineStr">
        <is>
          <t>为一个问题写30秒脚本</t>
        </is>
      </c>
      <c r="D9" s="3" t="inlineStr">
        <is>
          <t>脚本初稿</t>
        </is>
      </c>
      <c r="E9" s="3" t="inlineStr">
        <is>
          <t>问题、证据、结论明确</t>
        </is>
      </c>
      <c r="F9" s="3" t="inlineStr"/>
      <c r="G9" s="3" t="inlineStr">
        <is>
          <t>未开始</t>
        </is>
      </c>
      <c r="H9" s="3" t="inlineStr"/>
    </row>
    <row r="10" ht="40" customHeight="1">
      <c r="A10" s="2" t="n">
        <v>9</v>
      </c>
      <c r="B10" s="2" t="inlineStr">
        <is>
          <t>分镜</t>
        </is>
      </c>
      <c r="C10" s="2" t="inlineStr">
        <is>
          <t>安排六镜头并核对车辆</t>
        </is>
      </c>
      <c r="D10" s="2" t="inlineStr">
        <is>
          <t>分镜单</t>
        </is>
      </c>
      <c r="E10" s="2" t="inlineStr">
        <is>
          <t>关键操作拍得出来</t>
        </is>
      </c>
      <c r="F10" s="2" t="inlineStr"/>
      <c r="G10" s="2" t="inlineStr">
        <is>
          <t>未开始</t>
        </is>
      </c>
      <c r="H10" s="2" t="inlineStr"/>
    </row>
    <row r="11" ht="40" customHeight="1">
      <c r="A11" s="3" t="n">
        <v>10</v>
      </c>
      <c r="B11" s="3" t="inlineStr">
        <is>
          <t>独立拍摄</t>
        </is>
      </c>
      <c r="C11" s="3" t="inlineStr">
        <is>
          <t>按分镜拍主题，现场回放</t>
        </is>
      </c>
      <c r="D11" s="3" t="inlineStr">
        <is>
          <t>一套完整素材</t>
        </is>
      </c>
      <c r="E11" s="3" t="inlineStr">
        <is>
          <t>无核心缺镜头</t>
        </is>
      </c>
      <c r="F11" s="3" t="inlineStr"/>
      <c r="G11" s="3" t="inlineStr">
        <is>
          <t>未开始</t>
        </is>
      </c>
      <c r="H11" s="3" t="inlineStr"/>
    </row>
    <row r="12" ht="40" customHeight="1">
      <c r="A12" s="2" t="n">
        <v>11</v>
      </c>
      <c r="B12" s="2" t="inlineStr">
        <is>
          <t>字幕事实</t>
        </is>
      </c>
      <c r="C12" s="2" t="inlineStr">
        <is>
          <t>校对功能、版本、数字与单位</t>
        </is>
      </c>
      <c r="D12" s="2" t="inlineStr">
        <is>
          <t>审核记录</t>
        </is>
      </c>
      <c r="E12" s="2" t="inlineStr">
        <is>
          <t>销售确认准确</t>
        </is>
      </c>
      <c r="F12" s="2" t="inlineStr"/>
      <c r="G12" s="2" t="inlineStr">
        <is>
          <t>未开始</t>
        </is>
      </c>
      <c r="H12" s="2" t="inlineStr"/>
    </row>
    <row r="13" ht="40" customHeight="1">
      <c r="A13" s="3" t="n">
        <v>12</v>
      </c>
      <c r="B13" s="3" t="inlineStr">
        <is>
          <t>剪辑顺序</t>
        </is>
      </c>
      <c r="C13" s="3" t="inlineStr">
        <is>
          <t>先口播再证据，删除重复</t>
        </is>
      </c>
      <c r="D13" s="3" t="inlineStr">
        <is>
          <t>初稿或剪辑说明</t>
        </is>
      </c>
      <c r="E13" s="3" t="inlineStr">
        <is>
          <t>看得懂而非只有转场</t>
        </is>
      </c>
      <c r="F13" s="3" t="inlineStr"/>
      <c r="G13" s="3" t="inlineStr">
        <is>
          <t>未开始</t>
        </is>
      </c>
      <c r="H13" s="3" t="inlineStr"/>
    </row>
    <row r="14" ht="40" customHeight="1">
      <c r="A14" s="2" t="n">
        <v>13</v>
      </c>
      <c r="B14" s="2" t="inlineStr">
        <is>
          <t>三平台改编</t>
        </is>
      </c>
      <c r="C14" s="2" t="inlineStr">
        <is>
          <t>同素材改三个开头与标题</t>
        </is>
      </c>
      <c r="D14" s="2" t="inlineStr">
        <is>
          <t>三平台表达方案</t>
        </is>
      </c>
      <c r="E14" s="2" t="inlineStr">
        <is>
          <t>受众需求有区别</t>
        </is>
      </c>
      <c r="F14" s="2" t="inlineStr"/>
      <c r="G14" s="2" t="inlineStr">
        <is>
          <t>未开始</t>
        </is>
      </c>
      <c r="H14" s="2" t="inlineStr"/>
    </row>
    <row r="15" ht="40" customHeight="1">
      <c r="A15" s="3" t="n">
        <v>14</v>
      </c>
      <c r="B15" s="3" t="inlineStr">
        <is>
          <t>店总试拍</t>
        </is>
      </c>
      <c r="C15" s="3" t="inlineStr">
        <is>
          <t>准备三个问题，比较问答与读稿</t>
        </is>
      </c>
      <c r="D15" s="3" t="inlineStr">
        <is>
          <t>店总试拍素材</t>
        </is>
      </c>
      <c r="E15" s="3" t="inlineStr">
        <is>
          <t>表达自然，原意保留</t>
        </is>
      </c>
      <c r="F15" s="3" t="inlineStr"/>
      <c r="G15" s="3" t="inlineStr">
        <is>
          <t>未开始</t>
        </is>
      </c>
      <c r="H15" s="3" t="inlineStr"/>
    </row>
    <row r="16" ht="40" customHeight="1">
      <c r="A16" s="2" t="n">
        <v>15</v>
      </c>
      <c r="B16" s="2" t="inlineStr">
        <is>
          <t>家庭场景</t>
        </is>
      </c>
      <c r="C16" s="2" t="inlineStr">
        <is>
          <t>用实际物品做完整装载</t>
        </is>
      </c>
      <c r="D16" s="2" t="inlineStr">
        <is>
          <t>空间主题素材</t>
        </is>
      </c>
      <c r="E16" s="2" t="inlineStr">
        <is>
          <t>参照物与条件清楚</t>
        </is>
      </c>
      <c r="F16" s="2" t="inlineStr"/>
      <c r="G16" s="2" t="inlineStr">
        <is>
          <t>未开始</t>
        </is>
      </c>
      <c r="H16" s="2" t="inlineStr"/>
    </row>
    <row r="17" ht="40" customHeight="1">
      <c r="A17" s="3" t="n">
        <v>16</v>
      </c>
      <c r="B17" s="3" t="inlineStr">
        <is>
          <t>功能教学</t>
        </is>
      </c>
      <c r="C17" s="3" t="inlineStr">
        <is>
          <t>拍操作起点、过程和结果</t>
        </is>
      </c>
      <c r="D17" s="3" t="inlineStr">
        <is>
          <t>功能主题素材</t>
        </is>
      </c>
      <c r="E17" s="3" t="inlineStr">
        <is>
          <t>对应版本准确</t>
        </is>
      </c>
      <c r="F17" s="3" t="inlineStr"/>
      <c r="G17" s="3" t="inlineStr">
        <is>
          <t>未开始</t>
        </is>
      </c>
      <c r="H17" s="3" t="inlineStr"/>
    </row>
    <row r="18" ht="40" customHeight="1">
      <c r="A18" s="2" t="n">
        <v>17</v>
      </c>
      <c r="B18" s="2" t="inlineStr">
        <is>
          <t>补镜头</t>
        </is>
      </c>
      <c r="C18" s="2" t="inlineStr">
        <is>
          <t>根据剪辑意见补证据</t>
        </is>
      </c>
      <c r="D18" s="2" t="inlineStr">
        <is>
          <t>补拍记录</t>
        </is>
      </c>
      <c r="E18" s="2" t="inlineStr">
        <is>
          <t>具体解决缺口</t>
        </is>
      </c>
      <c r="F18" s="2" t="inlineStr"/>
      <c r="G18" s="2" t="inlineStr">
        <is>
          <t>未开始</t>
        </is>
      </c>
      <c r="H18" s="2" t="inlineStr"/>
    </row>
    <row r="19" ht="40" customHeight="1">
      <c r="A19" s="3" t="n">
        <v>18</v>
      </c>
      <c r="B19" s="3" t="inlineStr">
        <is>
          <t>店总栏目</t>
        </is>
      </c>
      <c r="C19" s="3" t="inlineStr">
        <is>
          <t>选择一个长期问题栏目</t>
        </is>
      </c>
      <c r="D19" s="3" t="inlineStr">
        <is>
          <t>栏目卡</t>
        </is>
      </c>
      <c r="E19" s="3" t="inlineStr">
        <is>
          <t>真实、有后续题材</t>
        </is>
      </c>
      <c r="F19" s="3" t="inlineStr"/>
      <c r="G19" s="3" t="inlineStr">
        <is>
          <t>未开始</t>
        </is>
      </c>
      <c r="H19" s="3" t="inlineStr"/>
    </row>
    <row r="20" ht="40" customHeight="1">
      <c r="A20" s="2" t="n">
        <v>19</v>
      </c>
      <c r="B20" s="2" t="inlineStr">
        <is>
          <t>采访引导</t>
        </is>
      </c>
      <c r="C20" s="2" t="inlineStr">
        <is>
          <t>用实例和具体动作追问</t>
        </is>
      </c>
      <c r="D20" s="2" t="inlineStr">
        <is>
          <t>一条问答素材</t>
        </is>
      </c>
      <c r="E20" s="2" t="inlineStr">
        <is>
          <t>抽象观点变具体</t>
        </is>
      </c>
      <c r="F20" s="2" t="inlineStr"/>
      <c r="G20" s="2" t="inlineStr">
        <is>
          <t>未开始</t>
        </is>
      </c>
      <c r="H20" s="2" t="inlineStr"/>
    </row>
    <row r="21" ht="40" customHeight="1">
      <c r="A21" s="3" t="n">
        <v>20</v>
      </c>
      <c r="B21" s="3" t="inlineStr">
        <is>
          <t>服务记录</t>
        </is>
      </c>
      <c r="C21" s="3" t="inlineStr">
        <is>
          <t>拍经批准的实际准备过程</t>
        </is>
      </c>
      <c r="D21" s="3" t="inlineStr">
        <is>
          <t>服务主题素材</t>
        </is>
      </c>
      <c r="E21" s="3" t="inlineStr">
        <is>
          <t>不是虚构流程</t>
        </is>
      </c>
      <c r="F21" s="3" t="inlineStr"/>
      <c r="G21" s="3" t="inlineStr">
        <is>
          <t>未开始</t>
        </is>
      </c>
      <c r="H21" s="3" t="inlineStr"/>
    </row>
    <row r="22" ht="40" customHeight="1">
      <c r="A22" s="2" t="n">
        <v>21</v>
      </c>
      <c r="B22" s="2" t="inlineStr">
        <is>
          <t>第三周复盘</t>
        </is>
      </c>
      <c r="C22" s="2" t="inlineStr">
        <is>
          <t>记录素材可用率与返工</t>
        </is>
      </c>
      <c r="D22" s="2" t="inlineStr">
        <is>
          <t>复盘表</t>
        </is>
      </c>
      <c r="E22" s="2" t="inlineStr">
        <is>
          <t>找到一个主要改法</t>
        </is>
      </c>
      <c r="F22" s="2" t="inlineStr"/>
      <c r="G22" s="2" t="inlineStr">
        <is>
          <t>未开始</t>
        </is>
      </c>
      <c r="H22" s="2" t="inlineStr"/>
    </row>
    <row r="23" ht="40" customHeight="1">
      <c r="A23" s="3" t="n">
        <v>22</v>
      </c>
      <c r="B23" s="3" t="inlineStr">
        <is>
          <t>留存反馈</t>
        </is>
      </c>
      <c r="C23" s="3" t="inlineStr">
        <is>
          <t>向运营要同类视频观看反馈</t>
        </is>
      </c>
      <c r="D23" s="3" t="inlineStr">
        <is>
          <t>三条拆解</t>
        </is>
      </c>
      <c r="E23" s="3" t="inlineStr">
        <is>
          <t>不可见项留空</t>
        </is>
      </c>
      <c r="F23" s="3" t="inlineStr"/>
      <c r="G23" s="3" t="inlineStr">
        <is>
          <t>未开始</t>
        </is>
      </c>
      <c r="H23" s="3" t="inlineStr"/>
    </row>
    <row r="24" ht="40" customHeight="1">
      <c r="A24" s="2" t="n">
        <v>23</v>
      </c>
      <c r="B24" s="2" t="inlineStr">
        <is>
          <t>开头实验</t>
        </is>
      </c>
      <c r="C24" s="2" t="inlineStr">
        <is>
          <t>只主要改变问题开头</t>
        </is>
      </c>
      <c r="D24" s="2" t="inlineStr">
        <is>
          <t>实验设计</t>
        </is>
      </c>
      <c r="E24" s="2" t="inlineStr">
        <is>
          <t>说明干扰因素</t>
        </is>
      </c>
      <c r="F24" s="2" t="inlineStr"/>
      <c r="G24" s="2" t="inlineStr">
        <is>
          <t>未开始</t>
        </is>
      </c>
      <c r="H24" s="2" t="inlineStr"/>
    </row>
    <row r="25" ht="40" customHeight="1">
      <c r="A25" s="3" t="n">
        <v>24</v>
      </c>
      <c r="B25" s="3" t="inlineStr">
        <is>
          <t>封面标题</t>
        </is>
      </c>
      <c r="C25" s="3" t="inlineStr">
        <is>
          <t>为一条片写三个具体标题</t>
        </is>
      </c>
      <c r="D25" s="3" t="inlineStr">
        <is>
          <t>标题候选</t>
        </is>
      </c>
      <c r="E25" s="3" t="inlineStr">
        <is>
          <t>不夸大、不堆热词</t>
        </is>
      </c>
      <c r="F25" s="3" t="inlineStr"/>
      <c r="G25" s="3" t="inlineStr">
        <is>
          <t>未开始</t>
        </is>
      </c>
      <c r="H25" s="3" t="inlineStr"/>
    </row>
    <row r="26" ht="40" customHeight="1">
      <c r="A26" s="2" t="n">
        <v>25</v>
      </c>
      <c r="B26" s="2" t="inlineStr">
        <is>
          <t>音乐许可</t>
        </is>
      </c>
      <c r="C26" s="2" t="inlineStr">
        <is>
          <t>选择三类配乐，核对许可</t>
        </is>
      </c>
      <c r="D26" s="2" t="inlineStr">
        <is>
          <t>音乐台账</t>
        </is>
      </c>
      <c r="E26" s="2" t="inlineStr">
        <is>
          <t>跨平台和投放分开</t>
        </is>
      </c>
      <c r="F26" s="2" t="inlineStr"/>
      <c r="G26" s="2" t="inlineStr">
        <is>
          <t>未开始</t>
        </is>
      </c>
      <c r="H26" s="2" t="inlineStr"/>
    </row>
    <row r="27" ht="40" customHeight="1">
      <c r="A27" s="3" t="n">
        <v>26</v>
      </c>
      <c r="B27" s="3" t="inlineStr">
        <is>
          <t>案例采集</t>
        </is>
      </c>
      <c r="C27" s="3" t="inlineStr">
        <is>
          <t>按近30日窗口核验原视频</t>
        </is>
      </c>
      <c r="D27" s="3" t="inlineStr">
        <is>
          <t>案例证据表</t>
        </is>
      </c>
      <c r="E27" s="3" t="inlineStr">
        <is>
          <t>无访问则标待核验</t>
        </is>
      </c>
      <c r="F27" s="3" t="inlineStr"/>
      <c r="G27" s="3" t="inlineStr">
        <is>
          <t>未开始</t>
        </is>
      </c>
      <c r="H27" s="3" t="inlineStr"/>
    </row>
    <row r="28" ht="40" customHeight="1">
      <c r="A28" s="2" t="n">
        <v>27</v>
      </c>
      <c r="B28" s="2" t="inlineStr">
        <is>
          <t>交接</t>
        </is>
      </c>
      <c r="C28" s="2" t="inlineStr">
        <is>
          <t>整理素材、事实和未决项</t>
        </is>
      </c>
      <c r="D28" s="2" t="inlineStr">
        <is>
          <t>交付说明</t>
        </is>
      </c>
      <c r="E28" s="2" t="inlineStr">
        <is>
          <t>别人接手能理解</t>
        </is>
      </c>
      <c r="F28" s="2" t="inlineStr"/>
      <c r="G28" s="2" t="inlineStr">
        <is>
          <t>未开始</t>
        </is>
      </c>
      <c r="H28" s="2" t="inlineStr"/>
    </row>
    <row r="29" ht="40" customHeight="1">
      <c r="A29" s="3" t="n">
        <v>28</v>
      </c>
      <c r="B29" s="3" t="inlineStr">
        <is>
          <t>店总效率</t>
        </is>
      </c>
      <c r="C29" s="3" t="inlineStr">
        <is>
          <t>尝试一场分段问答和补镜头</t>
        </is>
      </c>
      <c r="D29" s="3" t="inlineStr">
        <is>
          <t>拍摄时间记录</t>
        </is>
      </c>
      <c r="E29" s="3" t="inlineStr">
        <is>
          <t>不牺牲内容完整</t>
        </is>
      </c>
      <c r="F29" s="3" t="inlineStr"/>
      <c r="G29" s="3" t="inlineStr">
        <is>
          <t>未开始</t>
        </is>
      </c>
      <c r="H29" s="3" t="inlineStr"/>
    </row>
    <row r="30" ht="40" customHeight="1">
      <c r="A30" s="2" t="n">
        <v>29</v>
      </c>
      <c r="B30" s="2" t="inlineStr">
        <is>
          <t>下月排期</t>
        </is>
      </c>
      <c r="C30" s="2" t="inlineStr">
        <is>
          <t>保留有效栏目，列候选题</t>
        </is>
      </c>
      <c r="D30" s="2" t="inlineStr">
        <is>
          <t>下一月排期</t>
        </is>
      </c>
      <c r="E30" s="2" t="inlineStr">
        <is>
          <t>资源与审核可执行</t>
        </is>
      </c>
      <c r="F30" s="2" t="inlineStr"/>
      <c r="G30" s="2" t="inlineStr">
        <is>
          <t>未开始</t>
        </is>
      </c>
      <c r="H30" s="2" t="inlineStr"/>
    </row>
    <row r="31" ht="40" customHeight="1">
      <c r="A31" s="3" t="n">
        <v>30</v>
      </c>
      <c r="B31" s="3" t="inlineStr">
        <is>
          <t>学习总结</t>
        </is>
      </c>
      <c r="C31" s="3" t="inlineStr">
        <is>
          <t>汇总作品、技能与真实反馈</t>
        </is>
      </c>
      <c r="D31" s="3" t="inlineStr">
        <is>
          <t>学习报告</t>
        </is>
      </c>
      <c r="E31" s="3" t="inlineStr">
        <is>
          <t>不编造数据成果</t>
        </is>
      </c>
      <c r="F31" s="3" t="inlineStr"/>
      <c r="G31" s="3" t="inlineStr">
        <is>
          <t>未开始</t>
        </is>
      </c>
      <c r="H31" s="3" t="inlineStr"/>
    </row>
  </sheetData>
  <autoFilter ref="A1:H31"/>
  <dataValidations count="1">
    <dataValidation sqref="G2:G100" showDropDown="0" showInputMessage="0" showErrorMessage="1" allowBlank="1" errorTitle="请使用选项或按实际调整模板" error="请选择列表中的状态。" type="list">
      <formula1>"未开始,进行中,已完成,需返工,顺延"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34" customHeight="1">
      <c r="A1" s="1" t="inlineStr">
        <is>
          <t>日期</t>
        </is>
      </c>
      <c r="B1" s="1" t="inlineStr">
        <is>
          <t>内容ID</t>
        </is>
      </c>
      <c r="C1" s="1" t="inlineStr">
        <is>
          <t>账号/平台</t>
        </is>
      </c>
      <c r="D1" s="1" t="inlineStr">
        <is>
          <t>主题</t>
        </is>
      </c>
      <c r="E1" s="1" t="inlineStr">
        <is>
          <t>车辆/版本</t>
        </is>
      </c>
      <c r="F1" s="1" t="inlineStr">
        <is>
          <t>出镜人</t>
        </is>
      </c>
      <c r="G1" s="1" t="inlineStr">
        <is>
          <t>约拍时间</t>
        </is>
      </c>
      <c r="H1" s="1" t="inlineStr">
        <is>
          <t>地点</t>
        </is>
      </c>
      <c r="I1" s="1" t="inlineStr">
        <is>
          <t>脚本状态</t>
        </is>
      </c>
      <c r="J1" s="1" t="inlineStr">
        <is>
          <t>确认人</t>
        </is>
      </c>
      <c r="K1" s="1" t="inlineStr">
        <is>
          <t>交付时间</t>
        </is>
      </c>
      <c r="L1" s="1" t="inlineStr">
        <is>
          <t>状态</t>
        </is>
      </c>
      <c r="M1" s="1" t="inlineStr">
        <is>
          <t>素材位置</t>
        </is>
      </c>
    </row>
    <row r="2" ht="4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 ht="4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 ht="4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 ht="4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 ht="4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 ht="4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 ht="4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 ht="4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 ht="40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 ht="4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 ht="40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 ht="4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 ht="40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 ht="4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 ht="40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 ht="4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 ht="40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 ht="4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</sheetData>
  <autoFilter ref="A1:M3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34" customHeight="1">
      <c r="A1" s="1" t="inlineStr">
        <is>
          <t>内容ID</t>
        </is>
      </c>
      <c r="B1" s="1" t="inlineStr">
        <is>
          <t>镜头序号</t>
        </is>
      </c>
      <c r="C1" s="1" t="inlineStr">
        <is>
          <t>画面/动作</t>
        </is>
      </c>
      <c r="D1" s="1" t="inlineStr">
        <is>
          <t>景别/机位</t>
        </is>
      </c>
      <c r="E1" s="1" t="inlineStr">
        <is>
          <t>口播/字幕</t>
        </is>
      </c>
      <c r="F1" s="1" t="inlineStr">
        <is>
          <t>事实/条件</t>
        </is>
      </c>
      <c r="G1" s="1" t="inlineStr">
        <is>
          <t>拍摄注意</t>
        </is>
      </c>
      <c r="H1" s="1" t="inlineStr">
        <is>
          <t>是否拍齐</t>
        </is>
      </c>
      <c r="I1" s="1" t="inlineStr">
        <is>
          <t>素材文件名</t>
        </is>
      </c>
    </row>
    <row r="2" ht="40" customHeight="1">
      <c r="A2" s="2" t="inlineStr">
        <is>
          <t>S01练习候选</t>
        </is>
      </c>
      <c r="B2" s="2" t="n">
        <v>1</v>
      </c>
      <c r="C2" s="2" t="inlineStr">
        <is>
          <t>车辆与婴儿车同框</t>
        </is>
      </c>
      <c r="D2" s="2" t="inlineStr">
        <is>
          <t>全景</t>
        </is>
      </c>
      <c r="E2" s="2" t="inlineStr">
        <is>
          <t>看后备厢别只看数字</t>
        </is>
      </c>
      <c r="F2" s="2" t="inlineStr">
        <is>
          <t>车辆版本和物品待核实</t>
        </is>
      </c>
      <c r="G2" s="2" t="inlineStr">
        <is>
          <t>背景干净，交代参照物</t>
        </is>
      </c>
      <c r="H2" s="2" t="inlineStr">
        <is>
          <t>未拍摄</t>
        </is>
      </c>
      <c r="I2" s="2" t="inlineStr"/>
    </row>
    <row r="3" ht="40" customHeight="1">
      <c r="A3" s="3" t="inlineStr">
        <is>
          <t>S01练习候选</t>
        </is>
      </c>
      <c r="B3" s="3" t="n">
        <v>2</v>
      </c>
      <c r="C3" s="3" t="inlineStr">
        <is>
          <t>展示正常折叠状态</t>
        </is>
      </c>
      <c r="D3" s="3" t="inlineStr">
        <is>
          <t>中景</t>
        </is>
      </c>
      <c r="E3" s="3" t="inlineStr">
        <is>
          <t>这次使用的是这台婴儿车</t>
        </is>
      </c>
      <c r="F3" s="3" t="inlineStr">
        <is>
          <t>说明真实折叠方式</t>
        </is>
      </c>
      <c r="G3" s="3" t="inlineStr">
        <is>
          <t>不隐藏临时拆卸</t>
        </is>
      </c>
      <c r="H3" s="3" t="inlineStr">
        <is>
          <t>未拍摄</t>
        </is>
      </c>
      <c r="I3" s="3" t="inlineStr"/>
    </row>
    <row r="4" ht="40" customHeight="1">
      <c r="A4" s="2" t="inlineStr">
        <is>
          <t>S01练习候选</t>
        </is>
      </c>
      <c r="B4" s="2" t="n">
        <v>3</v>
      </c>
      <c r="C4" s="2" t="inlineStr">
        <is>
          <t>完整放入过程</t>
        </is>
      </c>
      <c r="D4" s="2" t="inlineStr">
        <is>
          <t>中景</t>
        </is>
      </c>
      <c r="E4" s="2" t="inlineStr">
        <is>
          <t>按正常方式放入</t>
        </is>
      </c>
      <c r="F4" s="2" t="inlineStr">
        <is>
          <t>保持可核对的过程</t>
        </is>
      </c>
      <c r="G4" s="2" t="inlineStr">
        <is>
          <t>动作前后留余量</t>
        </is>
      </c>
      <c r="H4" s="2" t="inlineStr">
        <is>
          <t>未拍摄</t>
        </is>
      </c>
      <c r="I4" s="2" t="inlineStr"/>
    </row>
    <row r="5" ht="40" customHeight="1">
      <c r="A5" s="3" t="inlineStr">
        <is>
          <t>S01练习候选</t>
        </is>
      </c>
      <c r="B5" s="3" t="n">
        <v>4</v>
      </c>
      <c r="C5" s="3" t="inlineStr">
        <is>
          <t>剩余空间与物品关系</t>
        </is>
      </c>
      <c r="D5" s="3" t="inlineStr">
        <is>
          <t>特写</t>
        </is>
      </c>
      <c r="E5" s="3" t="inlineStr">
        <is>
          <t>这是实际剩余空间</t>
        </is>
      </c>
      <c r="F5" s="3" t="inlineStr">
        <is>
          <t>不要泛化到其他物品</t>
        </is>
      </c>
      <c r="G5" s="3" t="inlineStr">
        <is>
          <t>拍清参照物和余量</t>
        </is>
      </c>
      <c r="H5" s="3" t="inlineStr">
        <is>
          <t>未拍摄</t>
        </is>
      </c>
      <c r="I5" s="3" t="inlineStr"/>
    </row>
    <row r="6" ht="40" customHeight="1">
      <c r="A6" s="2" t="inlineStr">
        <is>
          <t>S01练习候选</t>
        </is>
      </c>
      <c r="B6" s="2" t="n">
        <v>5</v>
      </c>
      <c r="C6" s="2" t="inlineStr">
        <is>
          <t>人物总结</t>
        </is>
      </c>
      <c r="D6" s="2" t="inlineStr">
        <is>
          <t>中景</t>
        </is>
      </c>
      <c r="E6" s="2" t="inlineStr">
        <is>
          <t>物品尺寸不同，结果也不同</t>
        </is>
      </c>
      <c r="F6" s="2" t="inlineStr">
        <is>
          <t>结论有适用条件</t>
        </is>
      </c>
      <c r="G6" s="2" t="inlineStr">
        <is>
          <t>收音清楚</t>
        </is>
      </c>
      <c r="H6" s="2" t="inlineStr">
        <is>
          <t>未拍摄</t>
        </is>
      </c>
      <c r="I6" s="2" t="inlineStr"/>
    </row>
    <row r="7" ht="40" customHeight="1">
      <c r="A7" s="3" t="inlineStr">
        <is>
          <t>S01练习候选</t>
        </is>
      </c>
      <c r="B7" s="3" t="n">
        <v>6</v>
      </c>
      <c r="C7" s="3" t="inlineStr">
        <is>
          <t>完整装载结果</t>
        </is>
      </c>
      <c r="D7" s="3" t="inlineStr">
        <is>
          <t>全景</t>
        </is>
      </c>
      <c r="E7" s="3" t="inlineStr">
        <is>
          <t>有条件可带常用物品实测</t>
        </is>
      </c>
      <c r="F7" s="3" t="inlineStr">
        <is>
          <t>说明车型与物品</t>
        </is>
      </c>
      <c r="G7" s="3" t="inlineStr">
        <is>
          <t>成片保留真实结果</t>
        </is>
      </c>
      <c r="H7" s="3" t="inlineStr">
        <is>
          <t>未拍摄</t>
        </is>
      </c>
      <c r="I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 ht="4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4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 ht="4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 ht="4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4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 ht="4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 ht="40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4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 ht="40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4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 ht="40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 ht="4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 ht="40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4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 ht="40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4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 ht="40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 ht="40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40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 ht="40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 ht="40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40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 ht="40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40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 ht="40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 ht="40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2" ht="40" customHeight="1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 ht="40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4" ht="40" customHeight="1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 ht="40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6" ht="40" customHeight="1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 ht="40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40" customHeight="1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40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0" ht="40" customHeight="1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40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</sheetData>
  <autoFilter ref="A1:I5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34" customHeight="1">
      <c r="A1" s="1" t="inlineStr">
        <is>
          <t>问题</t>
        </is>
      </c>
      <c r="B1" s="1" t="inlineStr">
        <is>
          <t>准确答案</t>
        </is>
      </c>
      <c r="C1" s="1" t="inlineStr">
        <is>
          <t>车型/版本</t>
        </is>
      </c>
      <c r="D1" s="1" t="inlineStr">
        <is>
          <t>来源位置</t>
        </is>
      </c>
      <c r="E1" s="1" t="inlineStr">
        <is>
          <t>资料日期</t>
        </is>
      </c>
      <c r="F1" s="1" t="inlineStr">
        <is>
          <t>适用条件</t>
        </is>
      </c>
      <c r="G1" s="1" t="inlineStr">
        <is>
          <t>实车核验</t>
        </is>
      </c>
      <c r="H1" s="1" t="inlineStr">
        <is>
          <t>确认人</t>
        </is>
      </c>
      <c r="I1" s="1" t="inlineStr">
        <is>
          <t>确认日期</t>
        </is>
      </c>
      <c r="J1" s="1" t="inlineStr">
        <is>
          <t>状态</t>
        </is>
      </c>
    </row>
    <row r="2" ht="4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 ht="4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4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 ht="4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4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4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4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 ht="4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40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 ht="4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40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 ht="4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 ht="40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 ht="4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 ht="40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 ht="4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 ht="40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 ht="4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</sheetData>
  <autoFilter ref="A1:J31"/>
  <dataValidations count="1">
    <dataValidation sqref="J2:J100" showDropDown="0" showInputMessage="0" showErrorMessage="1" allowBlank="1" errorTitle="请使用选项或按实际调整模板" error="请选择列表中的状态。" type="list">
      <formula1>"待确认,已确认,需更新,不适用"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</cols>
  <sheetData>
    <row r="1" ht="34" customHeight="1">
      <c r="A1" s="1" t="inlineStr">
        <is>
          <t>编号</t>
        </is>
      </c>
      <c r="B1" s="1" t="inlineStr">
        <is>
          <t>候选题材</t>
        </is>
      </c>
      <c r="C1" s="1" t="inlineStr">
        <is>
          <t>证据镜头</t>
        </is>
      </c>
      <c r="D1" s="1" t="inlineStr">
        <is>
          <t>出镜人候选</t>
        </is>
      </c>
      <c r="E1" s="1" t="inlineStr">
        <is>
          <t>常问程度1-5</t>
        </is>
      </c>
      <c r="F1" s="1" t="inlineStr">
        <is>
          <t>可展示1-5</t>
        </is>
      </c>
      <c r="G1" s="1" t="inlineStr">
        <is>
          <t>本地关联1-5</t>
        </is>
      </c>
      <c r="H1" s="1" t="inlineStr">
        <is>
          <t>合理下一步1-5</t>
        </is>
      </c>
      <c r="I1" s="1" t="inlineStr">
        <is>
          <t>合计</t>
        </is>
      </c>
      <c r="J1" s="1" t="inlineStr">
        <is>
          <t>状态</t>
        </is>
      </c>
      <c r="K1" s="1" t="inlineStr">
        <is>
          <t>平台改编</t>
        </is>
      </c>
      <c r="L1" s="1" t="inlineStr">
        <is>
          <t>事实确认</t>
        </is>
      </c>
    </row>
    <row r="2" ht="40" customHeight="1">
      <c r="A2" s="2" t="inlineStr">
        <is>
          <t>T01</t>
        </is>
      </c>
      <c r="B2" s="2" t="inlineStr">
        <is>
          <t>没有家充，买车前核对三件事</t>
        </is>
      </c>
      <c r="C2" s="2" t="inlineStr">
        <is>
          <t>条件清单与真实补能安排核对</t>
        </is>
      </c>
      <c r="D2" s="2" t="inlineStr">
        <is>
          <t>店总、销售</t>
        </is>
      </c>
      <c r="E2" s="2" t="inlineStr"/>
      <c r="F2" s="2" t="inlineStr"/>
      <c r="G2" s="2" t="inlineStr"/>
      <c r="H2" s="2" t="inlineStr"/>
      <c r="I2" s="2">
        <f>IF(COUNT(E2:H2)&lt;4,"",SUM(E2:H2))</f>
        <v/>
      </c>
      <c r="J2" s="2" t="inlineStr">
        <is>
          <t>候选未核验热门</t>
        </is>
      </c>
      <c r="K2" s="2" t="inlineStr"/>
      <c r="L2" s="2" t="inlineStr">
        <is>
          <t>待确认</t>
        </is>
      </c>
    </row>
    <row r="3" ht="40" customHeight="1">
      <c r="A3" s="3" t="inlineStr">
        <is>
          <t>T02</t>
        </is>
      </c>
      <c r="B3" s="3" t="inlineStr">
        <is>
          <t>通勤用车每月成本怎么算</t>
        </is>
      </c>
      <c r="C3" s="3" t="inlineStr">
        <is>
          <t>公开假设、公式与费用边界</t>
        </is>
      </c>
      <c r="D3" s="3" t="inlineStr">
        <is>
          <t>销售、讲解者</t>
        </is>
      </c>
      <c r="E3" s="3" t="inlineStr"/>
      <c r="F3" s="3" t="inlineStr"/>
      <c r="G3" s="3" t="inlineStr"/>
      <c r="H3" s="3" t="inlineStr"/>
      <c r="I3" s="3">
        <f>IF(COUNT(E3:H3)&lt;4,"",SUM(E3:H3))</f>
        <v/>
      </c>
      <c r="J3" s="3" t="inlineStr">
        <is>
          <t>候选未核验热门</t>
        </is>
      </c>
      <c r="K3" s="3" t="inlineStr"/>
      <c r="L3" s="3" t="inlineStr">
        <is>
          <t>待确认</t>
        </is>
      </c>
    </row>
    <row r="4" ht="40" customHeight="1">
      <c r="A4" s="2" t="inlineStr">
        <is>
          <t>T03</t>
        </is>
      </c>
      <c r="B4" s="2" t="inlineStr">
        <is>
          <t>婴儿车能否放进后备厢</t>
        </is>
      </c>
      <c r="C4" s="2" t="inlineStr">
        <is>
          <t>相同物品、完整装载过程</t>
        </is>
      </c>
      <c r="D4" s="2" t="inlineStr">
        <is>
          <t>实习生、销售</t>
        </is>
      </c>
      <c r="E4" s="2" t="inlineStr"/>
      <c r="F4" s="2" t="inlineStr"/>
      <c r="G4" s="2" t="inlineStr"/>
      <c r="H4" s="2" t="inlineStr"/>
      <c r="I4" s="2">
        <f>IF(COUNT(E4:H4)&lt;4,"",SUM(E4:H4))</f>
        <v/>
      </c>
      <c r="J4" s="2" t="inlineStr">
        <is>
          <t>候选未核验热门</t>
        </is>
      </c>
      <c r="K4" s="2" t="inlineStr"/>
      <c r="L4" s="2" t="inlineStr">
        <is>
          <t>待确认</t>
        </is>
      </c>
    </row>
    <row r="5" ht="40" customHeight="1">
      <c r="A5" s="3" t="inlineStr">
        <is>
          <t>T04</t>
        </is>
      </c>
      <c r="B5" s="3" t="inlineStr">
        <is>
          <t>老人上下车要体验哪些动作</t>
        </is>
      </c>
      <c r="C5" s="3" t="inlineStr">
        <is>
          <t>上下车动作、座椅与扶手细节</t>
        </is>
      </c>
      <c r="D5" s="3" t="inlineStr">
        <is>
          <t>销售</t>
        </is>
      </c>
      <c r="E5" s="3" t="inlineStr"/>
      <c r="F5" s="3" t="inlineStr"/>
      <c r="G5" s="3" t="inlineStr"/>
      <c r="H5" s="3" t="inlineStr"/>
      <c r="I5" s="3">
        <f>IF(COUNT(E5:H5)&lt;4,"",SUM(E5:H5))</f>
        <v/>
      </c>
      <c r="J5" s="3" t="inlineStr">
        <is>
          <t>候选未核验热门</t>
        </is>
      </c>
      <c r="K5" s="3" t="inlineStr"/>
      <c r="L5" s="3" t="inlineStr">
        <is>
          <t>待确认</t>
        </is>
      </c>
    </row>
    <row r="6" ht="40" customHeight="1">
      <c r="A6" s="2" t="inlineStr">
        <is>
          <t>T05</t>
        </is>
      </c>
      <c r="B6" s="2" t="inlineStr">
        <is>
          <t>首次试驾要体验什么</t>
        </is>
      </c>
      <c r="C6" s="2" t="inlineStr">
        <is>
          <t>门店实际安排、操作与体验清单</t>
        </is>
      </c>
      <c r="D6" s="2" t="inlineStr">
        <is>
          <t>店总、销售</t>
        </is>
      </c>
      <c r="E6" s="2" t="inlineStr"/>
      <c r="F6" s="2" t="inlineStr"/>
      <c r="G6" s="2" t="inlineStr"/>
      <c r="H6" s="2" t="inlineStr"/>
      <c r="I6" s="2">
        <f>IF(COUNT(E6:H6)&lt;4,"",SUM(E6:H6))</f>
        <v/>
      </c>
      <c r="J6" s="2" t="inlineStr">
        <is>
          <t>候选未核验热门</t>
        </is>
      </c>
      <c r="K6" s="2" t="inlineStr"/>
      <c r="L6" s="2" t="inlineStr">
        <is>
          <t>待确认</t>
        </is>
      </c>
    </row>
    <row r="7" ht="40" customHeight="1">
      <c r="A7" s="3" t="inlineStr">
        <is>
          <t>T06</t>
        </is>
      </c>
      <c r="B7" s="3" t="inlineStr">
        <is>
          <t>车型版本差异怎么核对</t>
        </is>
      </c>
      <c r="C7" s="3" t="inlineStr">
        <is>
          <t>当前官方配置资料与对应实车</t>
        </is>
      </c>
      <c r="D7" s="3" t="inlineStr">
        <is>
          <t>销售</t>
        </is>
      </c>
      <c r="E7" s="3" t="inlineStr"/>
      <c r="F7" s="3" t="inlineStr"/>
      <c r="G7" s="3" t="inlineStr"/>
      <c r="H7" s="3" t="inlineStr"/>
      <c r="I7" s="3">
        <f>IF(COUNT(E7:H7)&lt;4,"",SUM(E7:H7))</f>
        <v/>
      </c>
      <c r="J7" s="3" t="inlineStr">
        <is>
          <t>候选未核验热门</t>
        </is>
      </c>
      <c r="K7" s="3" t="inlineStr"/>
      <c r="L7" s="3" t="inlineStr">
        <is>
          <t>待确认</t>
        </is>
      </c>
    </row>
    <row r="8" ht="40" customHeight="1">
      <c r="A8" s="2" t="inlineStr">
        <is>
          <t>T07</t>
        </is>
      </c>
      <c r="B8" s="2" t="inlineStr">
        <is>
          <t>车机常用功能三步学会</t>
        </is>
      </c>
      <c r="C8" s="2" t="inlineStr">
        <is>
          <t>操作起点、过程与结果</t>
        </is>
      </c>
      <c r="D8" s="2" t="inlineStr">
        <is>
          <t>销售</t>
        </is>
      </c>
      <c r="E8" s="2" t="inlineStr"/>
      <c r="F8" s="2" t="inlineStr"/>
      <c r="G8" s="2" t="inlineStr"/>
      <c r="H8" s="2" t="inlineStr"/>
      <c r="I8" s="2">
        <f>IF(COUNT(E8:H8)&lt;4,"",SUM(E8:H8))</f>
        <v/>
      </c>
      <c r="J8" s="2" t="inlineStr">
        <is>
          <t>候选未核验热门</t>
        </is>
      </c>
      <c r="K8" s="2" t="inlineStr"/>
      <c r="L8" s="2" t="inlineStr">
        <is>
          <t>待确认</t>
        </is>
      </c>
    </row>
    <row r="9" ht="40" customHeight="1">
      <c r="A9" s="3" t="inlineStr">
        <is>
          <t>T08</t>
        </is>
      </c>
      <c r="B9" s="3" t="inlineStr">
        <is>
          <t>雨天用车前的准备</t>
        </is>
      </c>
      <c r="C9" s="3" t="inlineStr">
        <is>
          <t>对应说明书与常规功能演示</t>
        </is>
      </c>
      <c r="D9" s="3" t="inlineStr">
        <is>
          <t>销售</t>
        </is>
      </c>
      <c r="E9" s="3" t="inlineStr"/>
      <c r="F9" s="3" t="inlineStr"/>
      <c r="G9" s="3" t="inlineStr"/>
      <c r="H9" s="3" t="inlineStr"/>
      <c r="I9" s="3">
        <f>IF(COUNT(E9:H9)&lt;4,"",SUM(E9:H9))</f>
        <v/>
      </c>
      <c r="J9" s="3" t="inlineStr">
        <is>
          <t>候选未核验热门</t>
        </is>
      </c>
      <c r="K9" s="3" t="inlineStr"/>
      <c r="L9" s="3" t="inlineStr">
        <is>
          <t>待确认</t>
        </is>
      </c>
    </row>
    <row r="10" ht="40" customHeight="1">
      <c r="A10" s="2" t="inlineStr">
        <is>
          <t>T09</t>
        </is>
      </c>
      <c r="B10" s="2" t="inlineStr">
        <is>
          <t>下班到店看车流程</t>
        </is>
      </c>
      <c r="C10" s="2" t="inlineStr">
        <is>
          <t>已确认营业安排与实际流程</t>
        </is>
      </c>
      <c r="D10" s="2" t="inlineStr">
        <is>
          <t>门店工作人员</t>
        </is>
      </c>
      <c r="E10" s="2" t="inlineStr"/>
      <c r="F10" s="2" t="inlineStr"/>
      <c r="G10" s="2" t="inlineStr"/>
      <c r="H10" s="2" t="inlineStr"/>
      <c r="I10" s="2">
        <f>IF(COUNT(E10:H10)&lt;4,"",SUM(E10:H10))</f>
        <v/>
      </c>
      <c r="J10" s="2" t="inlineStr">
        <is>
          <t>候选未核验热门</t>
        </is>
      </c>
      <c r="K10" s="2" t="inlineStr"/>
      <c r="L10" s="2" t="inlineStr">
        <is>
          <t>待确认</t>
        </is>
      </c>
    </row>
    <row r="11" ht="40" customHeight="1">
      <c r="A11" s="3" t="inlineStr">
        <is>
          <t>T10</t>
        </is>
      </c>
      <c r="B11" s="3" t="inlineStr">
        <is>
          <t>地库停车前确认哪些尺寸</t>
        </is>
      </c>
      <c r="C11" s="3" t="inlineStr">
        <is>
          <t>车型资料、车位条件，不夸大适配</t>
        </is>
      </c>
      <c r="D11" s="3" t="inlineStr">
        <is>
          <t>销售</t>
        </is>
      </c>
      <c r="E11" s="3" t="inlineStr"/>
      <c r="F11" s="3" t="inlineStr"/>
      <c r="G11" s="3" t="inlineStr"/>
      <c r="H11" s="3" t="inlineStr"/>
      <c r="I11" s="3">
        <f>IF(COUNT(E11:H11)&lt;4,"",SUM(E11:H11))</f>
        <v/>
      </c>
      <c r="J11" s="3" t="inlineStr">
        <is>
          <t>候选未核验热门</t>
        </is>
      </c>
      <c r="K11" s="3" t="inlineStr"/>
      <c r="L11" s="3" t="inlineStr">
        <is>
          <t>待确认</t>
        </is>
      </c>
    </row>
    <row r="12" ht="40" customHeight="1">
      <c r="A12" s="2" t="inlineStr">
        <is>
          <t>T11</t>
        </is>
      </c>
      <c r="B12" s="2" t="inlineStr">
        <is>
          <t>后排坐起来怎样判断</t>
        </is>
      </c>
      <c r="C12" s="2" t="inlineStr">
        <is>
          <t>同一参照人物、真实坐姿与条件</t>
        </is>
      </c>
      <c r="D12" s="2" t="inlineStr">
        <is>
          <t>销售</t>
        </is>
      </c>
      <c r="E12" s="2" t="inlineStr"/>
      <c r="F12" s="2" t="inlineStr"/>
      <c r="G12" s="2" t="inlineStr"/>
      <c r="H12" s="2" t="inlineStr"/>
      <c r="I12" s="2">
        <f>IF(COUNT(E12:H12)&lt;4,"",SUM(E12:H12))</f>
        <v/>
      </c>
      <c r="J12" s="2" t="inlineStr">
        <is>
          <t>候选未核验热门</t>
        </is>
      </c>
      <c r="K12" s="2" t="inlineStr"/>
      <c r="L12" s="2" t="inlineStr">
        <is>
          <t>待确认</t>
        </is>
      </c>
    </row>
    <row r="13" ht="40" customHeight="1">
      <c r="A13" s="3" t="inlineStr">
        <is>
          <t>T12</t>
        </is>
      </c>
      <c r="B13" s="3" t="inlineStr">
        <is>
          <t>周末短途出行装载</t>
        </is>
      </c>
      <c r="C13" s="3" t="inlineStr">
        <is>
          <t>真实行李、完整装载</t>
        </is>
      </c>
      <c r="D13" s="3" t="inlineStr">
        <is>
          <t>实习生、销售</t>
        </is>
      </c>
      <c r="E13" s="3" t="inlineStr"/>
      <c r="F13" s="3" t="inlineStr"/>
      <c r="G13" s="3" t="inlineStr"/>
      <c r="H13" s="3" t="inlineStr"/>
      <c r="I13" s="3">
        <f>IF(COUNT(E13:H13)&lt;4,"",SUM(E13:H13))</f>
        <v/>
      </c>
      <c r="J13" s="3" t="inlineStr">
        <is>
          <t>候选未核验热门</t>
        </is>
      </c>
      <c r="K13" s="3" t="inlineStr"/>
      <c r="L13" s="3" t="inlineStr">
        <is>
          <t>待确认</t>
        </is>
      </c>
    </row>
    <row r="14" ht="40" customHeight="1">
      <c r="A14" s="2" t="inlineStr">
        <is>
          <t>T13</t>
        </is>
      </c>
      <c r="B14" s="2" t="inlineStr">
        <is>
          <t>夏季空调功能怎么使用</t>
        </is>
      </c>
      <c r="C14" s="2" t="inlineStr">
        <is>
          <t>对应版本操作，不虚构降温实测</t>
        </is>
      </c>
      <c r="D14" s="2" t="inlineStr">
        <is>
          <t>销售</t>
        </is>
      </c>
      <c r="E14" s="2" t="inlineStr"/>
      <c r="F14" s="2" t="inlineStr"/>
      <c r="G14" s="2" t="inlineStr"/>
      <c r="H14" s="2" t="inlineStr"/>
      <c r="I14" s="2">
        <f>IF(COUNT(E14:H14)&lt;4,"",SUM(E14:H14))</f>
        <v/>
      </c>
      <c r="J14" s="2" t="inlineStr">
        <is>
          <t>候选未核验热门</t>
        </is>
      </c>
      <c r="K14" s="2" t="inlineStr"/>
      <c r="L14" s="2" t="inlineStr">
        <is>
          <t>待确认</t>
        </is>
      </c>
    </row>
    <row r="15" ht="40" customHeight="1">
      <c r="A15" s="3" t="inlineStr">
        <is>
          <t>T14</t>
        </is>
      </c>
      <c r="B15" s="3" t="inlineStr">
        <is>
          <t>充电前先看清哪些信息</t>
        </is>
      </c>
      <c r="C15" s="3" t="inlineStr">
        <is>
          <t>对应车型说明与站点信息核对</t>
        </is>
      </c>
      <c r="D15" s="3" t="inlineStr">
        <is>
          <t>销售</t>
        </is>
      </c>
      <c r="E15" s="3" t="inlineStr"/>
      <c r="F15" s="3" t="inlineStr"/>
      <c r="G15" s="3" t="inlineStr"/>
      <c r="H15" s="3" t="inlineStr"/>
      <c r="I15" s="3">
        <f>IF(COUNT(E15:H15)&lt;4,"",SUM(E15:H15))</f>
        <v/>
      </c>
      <c r="J15" s="3" t="inlineStr">
        <is>
          <t>候选未核验热门</t>
        </is>
      </c>
      <c r="K15" s="3" t="inlineStr"/>
      <c r="L15" s="3" t="inlineStr">
        <is>
          <t>待确认</t>
        </is>
      </c>
    </row>
    <row r="16" ht="40" customHeight="1">
      <c r="A16" s="2" t="inlineStr">
        <is>
          <t>T15</t>
        </is>
      </c>
      <c r="B16" s="2" t="inlineStr">
        <is>
          <t>新手车主最常见的车机问题</t>
        </is>
      </c>
      <c r="C16" s="2" t="inlineStr">
        <is>
          <t>已核实问题与操作步骤</t>
        </is>
      </c>
      <c r="D16" s="2" t="inlineStr">
        <is>
          <t>销售</t>
        </is>
      </c>
      <c r="E16" s="2" t="inlineStr"/>
      <c r="F16" s="2" t="inlineStr"/>
      <c r="G16" s="2" t="inlineStr"/>
      <c r="H16" s="2" t="inlineStr"/>
      <c r="I16" s="2">
        <f>IF(COUNT(E16:H16)&lt;4,"",SUM(E16:H16))</f>
        <v/>
      </c>
      <c r="J16" s="2" t="inlineStr">
        <is>
          <t>候选未核验热门</t>
        </is>
      </c>
      <c r="K16" s="2" t="inlineStr"/>
      <c r="L16" s="2" t="inlineStr">
        <is>
          <t>待确认</t>
        </is>
      </c>
    </row>
    <row r="17" ht="40" customHeight="1">
      <c r="A17" s="3" t="inlineStr">
        <is>
          <t>T16</t>
        </is>
      </c>
      <c r="B17" s="3" t="inlineStr">
        <is>
          <t>展厅实车与线上资料怎么对照</t>
        </is>
      </c>
      <c r="C17" s="3" t="inlineStr">
        <is>
          <t>版本标识、资料日期、功能演示</t>
        </is>
      </c>
      <c r="D17" s="3" t="inlineStr">
        <is>
          <t>实习生、销售</t>
        </is>
      </c>
      <c r="E17" s="3" t="inlineStr"/>
      <c r="F17" s="3" t="inlineStr"/>
      <c r="G17" s="3" t="inlineStr"/>
      <c r="H17" s="3" t="inlineStr"/>
      <c r="I17" s="3">
        <f>IF(COUNT(E17:H17)&lt;4,"",SUM(E17:H17))</f>
        <v/>
      </c>
      <c r="J17" s="3" t="inlineStr">
        <is>
          <t>候选未核验热门</t>
        </is>
      </c>
      <c r="K17" s="3" t="inlineStr"/>
      <c r="L17" s="3" t="inlineStr">
        <is>
          <t>待确认</t>
        </is>
      </c>
    </row>
    <row r="18" ht="40" customHeight="1">
      <c r="A18" s="2" t="inlineStr">
        <is>
          <t>T17</t>
        </is>
      </c>
      <c r="B18" s="2" t="inlineStr">
        <is>
          <t>买车费用清单怎么读</t>
        </is>
      </c>
      <c r="C18" s="2" t="inlineStr">
        <is>
          <t>完整项目与当期适用条件</t>
        </is>
      </c>
      <c r="D18" s="2" t="inlineStr">
        <is>
          <t>店总、销售经理</t>
        </is>
      </c>
      <c r="E18" s="2" t="inlineStr"/>
      <c r="F18" s="2" t="inlineStr"/>
      <c r="G18" s="2" t="inlineStr"/>
      <c r="H18" s="2" t="inlineStr"/>
      <c r="I18" s="2">
        <f>IF(COUNT(E18:H18)&lt;4,"",SUM(E18:H18))</f>
        <v/>
      </c>
      <c r="J18" s="2" t="inlineStr">
        <is>
          <t>候选未核验热门</t>
        </is>
      </c>
      <c r="K18" s="2" t="inlineStr"/>
      <c r="L18" s="2" t="inlineStr">
        <is>
          <t>待确认</t>
        </is>
      </c>
    </row>
    <row r="19" ht="40" customHeight="1">
      <c r="A19" s="3" t="inlineStr">
        <is>
          <t>T18</t>
        </is>
      </c>
      <c r="B19" s="3" t="inlineStr">
        <is>
          <t>置换咨询需要准备什么</t>
        </is>
      </c>
      <c r="C19" s="3" t="inlineStr">
        <is>
          <t>门店实际流程，估值规则不承诺</t>
        </is>
      </c>
      <c r="D19" s="3" t="inlineStr">
        <is>
          <t>销售经理</t>
        </is>
      </c>
      <c r="E19" s="3" t="inlineStr"/>
      <c r="F19" s="3" t="inlineStr"/>
      <c r="G19" s="3" t="inlineStr"/>
      <c r="H19" s="3" t="inlineStr"/>
      <c r="I19" s="3">
        <f>IF(COUNT(E19:H19)&lt;4,"",SUM(E19:H19))</f>
        <v/>
      </c>
      <c r="J19" s="3" t="inlineStr">
        <is>
          <t>候选未核验热门</t>
        </is>
      </c>
      <c r="K19" s="3" t="inlineStr"/>
      <c r="L19" s="3" t="inlineStr">
        <is>
          <t>待确认</t>
        </is>
      </c>
    </row>
    <row r="20" ht="40" customHeight="1">
      <c r="A20" s="2" t="inlineStr">
        <is>
          <t>T19</t>
        </is>
      </c>
      <c r="B20" s="2" t="inlineStr">
        <is>
          <t>提车当天核对哪些项目</t>
        </is>
      </c>
      <c r="C20" s="2" t="inlineStr">
        <is>
          <t>经批准的交付流程、模拟演示</t>
        </is>
      </c>
      <c r="D20" s="2" t="inlineStr">
        <is>
          <t>交付人员</t>
        </is>
      </c>
      <c r="E20" s="2" t="inlineStr"/>
      <c r="F20" s="2" t="inlineStr"/>
      <c r="G20" s="2" t="inlineStr"/>
      <c r="H20" s="2" t="inlineStr"/>
      <c r="I20" s="2">
        <f>IF(COUNT(E20:H20)&lt;4,"",SUM(E20:H20))</f>
        <v/>
      </c>
      <c r="J20" s="2" t="inlineStr">
        <is>
          <t>候选未核验热门</t>
        </is>
      </c>
      <c r="K20" s="2" t="inlineStr"/>
      <c r="L20" s="2" t="inlineStr">
        <is>
          <t>待确认</t>
        </is>
      </c>
    </row>
    <row r="21" ht="40" customHeight="1">
      <c r="A21" s="3" t="inlineStr">
        <is>
          <t>T20</t>
        </is>
      </c>
      <c r="B21" s="3" t="inlineStr">
        <is>
          <t>实习生第一次学懂一个功能</t>
        </is>
      </c>
      <c r="C21" s="3" t="inlineStr">
        <is>
          <t>学习前后的解释与实际操作</t>
        </is>
      </c>
      <c r="D21" s="3" t="inlineStr">
        <is>
          <t>你与产品同事</t>
        </is>
      </c>
      <c r="E21" s="3" t="inlineStr"/>
      <c r="F21" s="3" t="inlineStr"/>
      <c r="G21" s="3" t="inlineStr"/>
      <c r="H21" s="3" t="inlineStr"/>
      <c r="I21" s="3">
        <f>IF(COUNT(E21:H21)&lt;4,"",SUM(E21:H21))</f>
        <v/>
      </c>
      <c r="J21" s="3" t="inlineStr">
        <is>
          <t>候选未核验热门</t>
        </is>
      </c>
      <c r="K21" s="3" t="inlineStr"/>
      <c r="L21" s="3" t="inlineStr">
        <is>
          <t>待确认</t>
        </is>
      </c>
    </row>
    <row r="22" ht="40" customHeight="1">
      <c r="A22" s="2" t="inlineStr">
        <is>
          <t>T21</t>
        </is>
      </c>
      <c r="B22" s="2" t="inlineStr">
        <is>
          <t>店总如何帮助首购者梳理需求</t>
        </is>
      </c>
      <c r="C22" s="2" t="inlineStr">
        <is>
          <t>三个问题与实际判断逻辑</t>
        </is>
      </c>
      <c r="D22" s="2" t="inlineStr">
        <is>
          <t>店总</t>
        </is>
      </c>
      <c r="E22" s="2" t="inlineStr"/>
      <c r="F22" s="2" t="inlineStr"/>
      <c r="G22" s="2" t="inlineStr"/>
      <c r="H22" s="2" t="inlineStr"/>
      <c r="I22" s="2">
        <f>IF(COUNT(E22:H22)&lt;4,"",SUM(E22:H22))</f>
        <v/>
      </c>
      <c r="J22" s="2" t="inlineStr">
        <is>
          <t>候选未核验热门</t>
        </is>
      </c>
      <c r="K22" s="2" t="inlineStr"/>
      <c r="L22" s="2" t="inlineStr">
        <is>
          <t>待确认</t>
        </is>
      </c>
    </row>
    <row r="23" ht="40" customHeight="1">
      <c r="A23" s="3" t="inlineStr">
        <is>
          <t>T22</t>
        </is>
      </c>
      <c r="B23" s="3" t="inlineStr">
        <is>
          <t>一场试驾开始前门店做什么</t>
        </is>
      </c>
      <c r="C23" s="3" t="inlineStr">
        <is>
          <t>实际准备与工作人员动作</t>
        </is>
      </c>
      <c r="D23" s="3" t="inlineStr">
        <is>
          <t>店总</t>
        </is>
      </c>
      <c r="E23" s="3" t="inlineStr"/>
      <c r="F23" s="3" t="inlineStr"/>
      <c r="G23" s="3" t="inlineStr"/>
      <c r="H23" s="3" t="inlineStr"/>
      <c r="I23" s="3">
        <f>IF(COUNT(E23:H23)&lt;4,"",SUM(E23:H23))</f>
        <v/>
      </c>
      <c r="J23" s="3" t="inlineStr">
        <is>
          <t>候选未核验热门</t>
        </is>
      </c>
      <c r="K23" s="3" t="inlineStr"/>
      <c r="L23" s="3" t="inlineStr">
        <is>
          <t>待确认</t>
        </is>
      </c>
    </row>
    <row r="24" ht="40" customHeight="1">
      <c r="A24" s="2" t="inlineStr">
        <is>
          <t>T23</t>
        </is>
      </c>
      <c r="B24" s="2" t="inlineStr">
        <is>
          <t>店总讲一次可公开的服务改进</t>
        </is>
      </c>
      <c r="C24" s="2" t="inlineStr">
        <is>
          <t>经批准的事实与已经完成的改法</t>
        </is>
      </c>
      <c r="D24" s="2" t="inlineStr">
        <is>
          <t>店总</t>
        </is>
      </c>
      <c r="E24" s="2" t="inlineStr"/>
      <c r="F24" s="2" t="inlineStr"/>
      <c r="G24" s="2" t="inlineStr"/>
      <c r="H24" s="2" t="inlineStr"/>
      <c r="I24" s="2">
        <f>IF(COUNT(E24:H24)&lt;4,"",SUM(E24:H24))</f>
        <v/>
      </c>
      <c r="J24" s="2" t="inlineStr">
        <is>
          <t>候选未核验热门</t>
        </is>
      </c>
      <c r="K24" s="2" t="inlineStr"/>
      <c r="L24" s="2" t="inlineStr">
        <is>
          <t>待确认</t>
        </is>
      </c>
    </row>
    <row r="25" ht="40" customHeight="1">
      <c r="A25" s="3" t="inlineStr">
        <is>
          <t>T24</t>
        </is>
      </c>
      <c r="B25" s="3" t="inlineStr">
        <is>
          <t>店总带新人纠正一个产品误区</t>
        </is>
      </c>
      <c r="C25" s="3" t="inlineStr">
        <is>
          <t>正确资料、对应版本与示范</t>
        </is>
      </c>
      <c r="D25" s="3" t="inlineStr">
        <is>
          <t>店总与你</t>
        </is>
      </c>
      <c r="E25" s="3" t="inlineStr"/>
      <c r="F25" s="3" t="inlineStr"/>
      <c r="G25" s="3" t="inlineStr"/>
      <c r="H25" s="3" t="inlineStr"/>
      <c r="I25" s="3">
        <f>IF(COUNT(E25:H25)&lt;4,"",SUM(E25:H25))</f>
        <v/>
      </c>
      <c r="J25" s="3" t="inlineStr">
        <is>
          <t>候选未核验热门</t>
        </is>
      </c>
      <c r="K25" s="3" t="inlineStr"/>
      <c r="L25" s="3" t="inlineStr">
        <is>
          <t>待确认</t>
        </is>
      </c>
    </row>
  </sheetData>
  <autoFilter ref="A1:L25"/>
  <dataValidations count="1">
    <dataValidation sqref="E2:H25" showDropDown="0" showInputMessage="0" showErrorMessage="1" allowBlank="1" error="请填写1至5的整数；未评分请留空。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34" customHeight="1">
      <c r="A1" s="1" t="inlineStr">
        <is>
          <t>日期</t>
        </is>
      </c>
      <c r="B1" s="1" t="inlineStr">
        <is>
          <t>主题</t>
        </is>
      </c>
      <c r="C1" s="1" t="inlineStr">
        <is>
          <t>给谁看</t>
        </is>
      </c>
      <c r="D1" s="1" t="inlineStr">
        <is>
          <t>提问1</t>
        </is>
      </c>
      <c r="E1" s="1" t="inlineStr">
        <is>
          <t>提问2</t>
        </is>
      </c>
      <c r="F1" s="1" t="inlineStr">
        <is>
          <t>提问3</t>
        </is>
      </c>
      <c r="G1" s="1" t="inlineStr">
        <is>
          <t>事实确认</t>
        </is>
      </c>
      <c r="H1" s="1" t="inlineStr">
        <is>
          <t>实际做法或建议</t>
        </is>
      </c>
      <c r="I1" s="1" t="inlineStr">
        <is>
          <t>可用时间</t>
        </is>
      </c>
      <c r="J1" s="1" t="inlineStr">
        <is>
          <t>车辆/补镜头</t>
        </is>
      </c>
      <c r="K1" s="1" t="inlineStr">
        <is>
          <t>偏好/状态</t>
        </is>
      </c>
      <c r="L1" s="1" t="inlineStr">
        <is>
          <t>审核人</t>
        </is>
      </c>
      <c r="M1" s="1" t="inlineStr">
        <is>
          <t>交付</t>
        </is>
      </c>
    </row>
    <row r="2" ht="40" customHeight="1">
      <c r="A2" s="2" t="inlineStr"/>
      <c r="B2" s="2" t="inlineStr">
        <is>
          <t>首次购车先问什么</t>
        </is>
      </c>
      <c r="C2" s="2" t="inlineStr">
        <is>
          <t>首次购车者</t>
        </is>
      </c>
      <c r="D2" s="2" t="inlineStr">
        <is>
          <t>日常怎样用车？</t>
        </is>
      </c>
      <c r="E2" s="2" t="inlineStr">
        <is>
          <t>怎样停车与补能？</t>
        </is>
      </c>
      <c r="F2" s="2" t="inlineStr">
        <is>
          <t>家庭使用和预算怎样考虑？</t>
        </is>
      </c>
      <c r="G2" s="2" t="inlineStr">
        <is>
          <t>待店总核实</t>
        </is>
      </c>
      <c r="H2" s="2" t="inlineStr">
        <is>
          <t>请店总说明真实做法</t>
        </is>
      </c>
      <c r="I2" s="2" t="inlineStr">
        <is>
          <t>建议45分钟</t>
        </is>
      </c>
      <c r="J2" s="2" t="inlineStr">
        <is>
          <t>实车、清单与同事配合</t>
        </is>
      </c>
      <c r="K2" s="2" t="inlineStr">
        <is>
          <t>提纲候选，未拍摄</t>
        </is>
      </c>
      <c r="L2" s="2" t="inlineStr">
        <is>
          <t>待确认</t>
        </is>
      </c>
      <c r="M2" s="2" t="inlineStr">
        <is>
          <t>待约拍，不代表已发布</t>
        </is>
      </c>
    </row>
    <row r="3" ht="40" customHeight="1">
      <c r="A3" s="3" t="inlineStr"/>
      <c r="B3" s="3" t="inlineStr">
        <is>
          <t>只看月供够不够</t>
        </is>
      </c>
      <c r="C3" s="3" t="inlineStr">
        <is>
          <t>有金融方案疑问的顾客</t>
        </is>
      </c>
      <c r="D3" s="3" t="inlineStr">
        <is>
          <t>哪些条件必须一起核对？</t>
        </is>
      </c>
      <c r="E3" s="3" t="inlineStr">
        <is>
          <t>有哪些费用容易遗漏？</t>
        </is>
      </c>
      <c r="F3" s="3" t="inlineStr">
        <is>
          <t>应当向谁确认方案？</t>
        </is>
      </c>
      <c r="G3" s="3" t="inlineStr">
        <is>
          <t>当期方案由指定负责人确认</t>
        </is>
      </c>
      <c r="H3" s="3" t="inlineStr">
        <is>
          <t>没有真实数字时只讲核对方法</t>
        </is>
      </c>
      <c r="I3" s="3" t="inlineStr">
        <is>
          <t>建议30分钟</t>
        </is>
      </c>
      <c r="J3" s="3" t="inlineStr">
        <is>
          <t>批准的模拟清单</t>
        </is>
      </c>
      <c r="K3" s="3" t="inlineStr">
        <is>
          <t>提纲候选，未拍摄</t>
        </is>
      </c>
      <c r="L3" s="3" t="inlineStr">
        <is>
          <t>待确认</t>
        </is>
      </c>
      <c r="M3" s="3" t="inlineStr">
        <is>
          <t>待约拍，不代表已发布</t>
        </is>
      </c>
    </row>
    <row r="4" ht="40" customHeight="1">
      <c r="A4" s="2" t="inlineStr"/>
      <c r="B4" s="2" t="inlineStr">
        <is>
          <t>试驾前门店准备什么</t>
        </is>
      </c>
      <c r="C4" s="2" t="inlineStr">
        <is>
          <t>首次到店者</t>
        </is>
      </c>
      <c r="D4" s="2" t="inlineStr">
        <is>
          <t>我们实际做哪些准备？</t>
        </is>
      </c>
      <c r="E4" s="2" t="inlineStr">
        <is>
          <t>每一步有什么作用？</t>
        </is>
      </c>
      <c r="F4" s="2" t="inlineStr">
        <is>
          <t>顾客事先需要确认什么？</t>
        </is>
      </c>
      <c r="G4" s="2" t="inlineStr">
        <is>
          <t>真实流程与预约入口待核实</t>
        </is>
      </c>
      <c r="H4" s="2" t="inlineStr">
        <is>
          <t>只拍已执行做法</t>
        </is>
      </c>
      <c r="I4" s="2" t="inlineStr">
        <is>
          <t>建议45分钟</t>
        </is>
      </c>
      <c r="J4" s="2" t="inlineStr">
        <is>
          <t>工作人员和准备流程</t>
        </is>
      </c>
      <c r="K4" s="2" t="inlineStr">
        <is>
          <t>提纲候选，未拍摄</t>
        </is>
      </c>
      <c r="L4" s="2" t="inlineStr">
        <is>
          <t>待确认</t>
        </is>
      </c>
      <c r="M4" s="2" t="inlineStr">
        <is>
          <t>待约拍，不代表已发布</t>
        </is>
      </c>
    </row>
    <row r="5" ht="40" customHeight="1">
      <c r="A5" s="3" t="inlineStr"/>
      <c r="B5" s="3" t="inlineStr">
        <is>
          <t>店总带新人纠正一个误区</t>
        </is>
      </c>
      <c r="C5" s="3" t="inlineStr">
        <is>
          <t>汽车知识初学者</t>
        </is>
      </c>
      <c r="D5" s="3" t="inlineStr">
        <is>
          <t>这个概念怎样正确理解？</t>
        </is>
      </c>
      <c r="E5" s="3" t="inlineStr">
        <is>
          <t>对应哪个车型与版本？</t>
        </is>
      </c>
      <c r="F5" s="3" t="inlineStr">
        <is>
          <t>可以在实车上验证吗？</t>
        </is>
      </c>
      <c r="G5" s="3" t="inlineStr">
        <is>
          <t>正确资料和实车待核实</t>
        </is>
      </c>
      <c r="H5" s="3" t="inlineStr">
        <is>
          <t>不编造资历或承诺</t>
        </is>
      </c>
      <c r="I5" s="3" t="inlineStr">
        <is>
          <t>建议30分钟</t>
        </is>
      </c>
      <c r="J5" s="3" t="inlineStr">
        <is>
          <t>你、店总与对应车辆</t>
        </is>
      </c>
      <c r="K5" s="3" t="inlineStr">
        <is>
          <t>提纲候选，未拍摄</t>
        </is>
      </c>
      <c r="L5" s="3" t="inlineStr">
        <is>
          <t>待确认</t>
        </is>
      </c>
      <c r="M5" s="3" t="inlineStr">
        <is>
          <t>待约拍，不代表已发布</t>
        </is>
      </c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 ht="4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 ht="4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 ht="4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 ht="4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 ht="4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 ht="4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</sheetData>
  <autoFilter ref="A1:M2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01"/>
  <sheetViews>
    <sheetView showGridLines="0" workbookViewId="0">
      <pane xSplit="8" ySplit="1" topLeftCell="I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</cols>
  <sheetData>
    <row r="1" ht="34" customHeight="1">
      <c r="A1" s="1" t="inlineStr">
        <is>
          <t>内容ID</t>
        </is>
      </c>
      <c r="B1" s="1" t="inlineStr">
        <is>
          <t>发布日期</t>
        </is>
      </c>
      <c r="C1" s="1" t="inlineStr">
        <is>
          <t>平台</t>
        </is>
      </c>
      <c r="D1" s="1" t="inlineStr">
        <is>
          <t>账号/栏目</t>
        </is>
      </c>
      <c r="E1" s="1" t="inlineStr">
        <is>
          <t>题材</t>
        </is>
      </c>
      <c r="F1" s="1" t="inlineStr">
        <is>
          <t>时长秒</t>
        </is>
      </c>
      <c r="G1" s="1" t="inlineStr">
        <is>
          <t>拍摄负责人</t>
        </is>
      </c>
      <c r="H1" s="1" t="inlineStr">
        <is>
          <t>自然/付费</t>
        </is>
      </c>
      <c r="I1" s="1" t="inlineStr">
        <is>
          <t>播放24h</t>
        </is>
      </c>
      <c r="J1" s="1" t="inlineStr">
        <is>
          <t>平均观看秒24h</t>
        </is>
      </c>
      <c r="K1" s="1" t="inlineStr">
        <is>
          <t>完播率24h</t>
        </is>
      </c>
      <c r="L1" s="1" t="inlineStr">
        <is>
          <t>点赞7d</t>
        </is>
      </c>
      <c r="M1" s="1" t="inlineStr">
        <is>
          <t>评论7d</t>
        </is>
      </c>
      <c r="N1" s="1" t="inlineStr">
        <is>
          <t>收藏7d</t>
        </is>
      </c>
      <c r="O1" s="1" t="inlineStr">
        <is>
          <t>分享7d</t>
        </is>
      </c>
      <c r="P1" s="1" t="inlineStr">
        <is>
          <t>播放7d</t>
        </is>
      </c>
      <c r="Q1" s="1" t="inlineStr">
        <is>
          <t>有效咨询7d去重</t>
        </is>
      </c>
      <c r="R1" s="1" t="inlineStr">
        <is>
          <t>预约7d去重</t>
        </is>
      </c>
      <c r="S1" s="1" t="inlineStr">
        <is>
          <t>同批预约已到期人数</t>
        </is>
      </c>
      <c r="T1" s="1" t="inlineStr">
        <is>
          <t>到期同批实际到店</t>
        </is>
      </c>
      <c r="U1" s="1" t="inlineStr">
        <is>
          <t>同批已知成交</t>
        </is>
      </c>
      <c r="V1" s="1" t="inlineStr">
        <is>
          <t>互动率7d</t>
        </is>
      </c>
      <c r="W1" s="1" t="inlineStr">
        <is>
          <t>咨询率7d</t>
        </is>
      </c>
      <c r="X1" s="1" t="inlineStr">
        <is>
          <t>预约转化率7d</t>
        </is>
      </c>
      <c r="Y1" s="1" t="inlineStr">
        <is>
          <t>到店履约率</t>
        </is>
      </c>
      <c r="Z1" s="1" t="inlineStr">
        <is>
          <t>归因依据</t>
        </is>
      </c>
      <c r="AA1" s="1" t="inlineStr">
        <is>
          <t>采集日期</t>
        </is>
      </c>
      <c r="AB1" s="1" t="inlineStr">
        <is>
          <t>备注/不可见项</t>
        </is>
      </c>
    </row>
    <row r="2" ht="4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4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5">
        <f>IF(OR(COUNT(L2:O2)&lt;4,P2="",P2=0),"",SUM(L2:O2)/P2)</f>
        <v/>
      </c>
      <c r="W2" s="5">
        <f>IF(OR(P2="",P2=0,Q2=""),"",Q2/P2)</f>
        <v/>
      </c>
      <c r="X2" s="5">
        <f>IF(OR(Q2="",Q2=0,R2=""),"",R2/Q2)</f>
        <v/>
      </c>
      <c r="Y2" s="5">
        <f>IF(OR(S2="",S2=0,T2=""),"",T2/S2)</f>
        <v/>
      </c>
      <c r="Z2" s="2" t="inlineStr"/>
      <c r="AA2" s="2" t="inlineStr"/>
      <c r="AB2" s="2" t="inlineStr"/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6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5">
        <f>IF(OR(COUNT(L3:O3)&lt;4,P3="",P3=0),"",SUM(L3:O3)/P3)</f>
        <v/>
      </c>
      <c r="W3" s="5">
        <f>IF(OR(P3="",P3=0,Q3=""),"",Q3/P3)</f>
        <v/>
      </c>
      <c r="X3" s="5">
        <f>IF(OR(Q3="",Q3=0,R3=""),"",R3/Q3)</f>
        <v/>
      </c>
      <c r="Y3" s="5">
        <f>IF(OR(S3="",S3=0,T3=""),"",T3/S3)</f>
        <v/>
      </c>
      <c r="Z3" s="3" t="inlineStr"/>
      <c r="AA3" s="3" t="inlineStr"/>
      <c r="AB3" s="3" t="inlineStr"/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4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5">
        <f>IF(OR(COUNT(L4:O4)&lt;4,P4="",P4=0),"",SUM(L4:O4)/P4)</f>
        <v/>
      </c>
      <c r="W4" s="5">
        <f>IF(OR(P4="",P4=0,Q4=""),"",Q4/P4)</f>
        <v/>
      </c>
      <c r="X4" s="5">
        <f>IF(OR(Q4="",Q4=0,R4=""),"",R4/Q4)</f>
        <v/>
      </c>
      <c r="Y4" s="5">
        <f>IF(OR(S4="",S4=0,T4=""),"",T4/S4)</f>
        <v/>
      </c>
      <c r="Z4" s="2" t="inlineStr"/>
      <c r="AA4" s="2" t="inlineStr"/>
      <c r="AB4" s="2" t="inlineStr"/>
    </row>
    <row r="5" ht="4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6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5">
        <f>IF(OR(COUNT(L5:O5)&lt;4,P5="",P5=0),"",SUM(L5:O5)/P5)</f>
        <v/>
      </c>
      <c r="W5" s="5">
        <f>IF(OR(P5="",P5=0,Q5=""),"",Q5/P5)</f>
        <v/>
      </c>
      <c r="X5" s="5">
        <f>IF(OR(Q5="",Q5=0,R5=""),"",R5/Q5)</f>
        <v/>
      </c>
      <c r="Y5" s="5">
        <f>IF(OR(S5="",S5=0,T5=""),"",T5/S5)</f>
        <v/>
      </c>
      <c r="Z5" s="3" t="inlineStr"/>
      <c r="AA5" s="3" t="inlineStr"/>
      <c r="AB5" s="3" t="inlineStr"/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4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5">
        <f>IF(OR(COUNT(L6:O6)&lt;4,P6="",P6=0),"",SUM(L6:O6)/P6)</f>
        <v/>
      </c>
      <c r="W6" s="5">
        <f>IF(OR(P6="",P6=0,Q6=""),"",Q6/P6)</f>
        <v/>
      </c>
      <c r="X6" s="5">
        <f>IF(OR(Q6="",Q6=0,R6=""),"",R6/Q6)</f>
        <v/>
      </c>
      <c r="Y6" s="5">
        <f>IF(OR(S6="",S6=0,T6=""),"",T6/S6)</f>
        <v/>
      </c>
      <c r="Z6" s="2" t="inlineStr"/>
      <c r="AA6" s="2" t="inlineStr"/>
      <c r="AB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6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5">
        <f>IF(OR(COUNT(L7:O7)&lt;4,P7="",P7=0),"",SUM(L7:O7)/P7)</f>
        <v/>
      </c>
      <c r="W7" s="5">
        <f>IF(OR(P7="",P7=0,Q7=""),"",Q7/P7)</f>
        <v/>
      </c>
      <c r="X7" s="5">
        <f>IF(OR(Q7="",Q7=0,R7=""),"",R7/Q7)</f>
        <v/>
      </c>
      <c r="Y7" s="5">
        <f>IF(OR(S7="",S7=0,T7=""),"",T7/S7)</f>
        <v/>
      </c>
      <c r="Z7" s="3" t="inlineStr"/>
      <c r="AA7" s="3" t="inlineStr"/>
      <c r="AB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4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5">
        <f>IF(OR(COUNT(L8:O8)&lt;4,P8="",P8=0),"",SUM(L8:O8)/P8)</f>
        <v/>
      </c>
      <c r="W8" s="5">
        <f>IF(OR(P8="",P8=0,Q8=""),"",Q8/P8)</f>
        <v/>
      </c>
      <c r="X8" s="5">
        <f>IF(OR(Q8="",Q8=0,R8=""),"",R8/Q8)</f>
        <v/>
      </c>
      <c r="Y8" s="5">
        <f>IF(OR(S8="",S8=0,T8=""),"",T8/S8)</f>
        <v/>
      </c>
      <c r="Z8" s="2" t="inlineStr"/>
      <c r="AA8" s="2" t="inlineStr"/>
      <c r="AB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6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5">
        <f>IF(OR(COUNT(L9:O9)&lt;4,P9="",P9=0),"",SUM(L9:O9)/P9)</f>
        <v/>
      </c>
      <c r="W9" s="5">
        <f>IF(OR(P9="",P9=0,Q9=""),"",Q9/P9)</f>
        <v/>
      </c>
      <c r="X9" s="5">
        <f>IF(OR(Q9="",Q9=0,R9=""),"",R9/Q9)</f>
        <v/>
      </c>
      <c r="Y9" s="5">
        <f>IF(OR(S9="",S9=0,T9=""),"",T9/S9)</f>
        <v/>
      </c>
      <c r="Z9" s="3" t="inlineStr"/>
      <c r="AA9" s="3" t="inlineStr"/>
      <c r="AB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4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5">
        <f>IF(OR(COUNT(L10:O10)&lt;4,P10="",P10=0),"",SUM(L10:O10)/P10)</f>
        <v/>
      </c>
      <c r="W10" s="5">
        <f>IF(OR(P10="",P10=0,Q10=""),"",Q10/P10)</f>
        <v/>
      </c>
      <c r="X10" s="5">
        <f>IF(OR(Q10="",Q10=0,R10=""),"",R10/Q10)</f>
        <v/>
      </c>
      <c r="Y10" s="5">
        <f>IF(OR(S10="",S10=0,T10=""),"",T10/S10)</f>
        <v/>
      </c>
      <c r="Z10" s="2" t="inlineStr"/>
      <c r="AA10" s="2" t="inlineStr"/>
      <c r="AB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6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5">
        <f>IF(OR(COUNT(L11:O11)&lt;4,P11="",P11=0),"",SUM(L11:O11)/P11)</f>
        <v/>
      </c>
      <c r="W11" s="5">
        <f>IF(OR(P11="",P11=0,Q11=""),"",Q11/P11)</f>
        <v/>
      </c>
      <c r="X11" s="5">
        <f>IF(OR(Q11="",Q11=0,R11=""),"",R11/Q11)</f>
        <v/>
      </c>
      <c r="Y11" s="5">
        <f>IF(OR(S11="",S11=0,T11=""),"",T11/S11)</f>
        <v/>
      </c>
      <c r="Z11" s="3" t="inlineStr"/>
      <c r="AA11" s="3" t="inlineStr"/>
      <c r="AB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4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5">
        <f>IF(OR(COUNT(L12:O12)&lt;4,P12="",P12=0),"",SUM(L12:O12)/P12)</f>
        <v/>
      </c>
      <c r="W12" s="5">
        <f>IF(OR(P12="",P12=0,Q12=""),"",Q12/P12)</f>
        <v/>
      </c>
      <c r="X12" s="5">
        <f>IF(OR(Q12="",Q12=0,R12=""),"",R12/Q12)</f>
        <v/>
      </c>
      <c r="Y12" s="5">
        <f>IF(OR(S12="",S12=0,T12=""),"",T12/S12)</f>
        <v/>
      </c>
      <c r="Z12" s="2" t="inlineStr"/>
      <c r="AA12" s="2" t="inlineStr"/>
      <c r="AB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6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5">
        <f>IF(OR(COUNT(L13:O13)&lt;4,P13="",P13=0),"",SUM(L13:O13)/P13)</f>
        <v/>
      </c>
      <c r="W13" s="5">
        <f>IF(OR(P13="",P13=0,Q13=""),"",Q13/P13)</f>
        <v/>
      </c>
      <c r="X13" s="5">
        <f>IF(OR(Q13="",Q13=0,R13=""),"",R13/Q13)</f>
        <v/>
      </c>
      <c r="Y13" s="5">
        <f>IF(OR(S13="",S13=0,T13=""),"",T13/S13)</f>
        <v/>
      </c>
      <c r="Z13" s="3" t="inlineStr"/>
      <c r="AA13" s="3" t="inlineStr"/>
      <c r="AB13" s="3" t="inlineStr"/>
    </row>
    <row r="14" ht="4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4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5">
        <f>IF(OR(COUNT(L14:O14)&lt;4,P14="",P14=0),"",SUM(L14:O14)/P14)</f>
        <v/>
      </c>
      <c r="W14" s="5">
        <f>IF(OR(P14="",P14=0,Q14=""),"",Q14/P14)</f>
        <v/>
      </c>
      <c r="X14" s="5">
        <f>IF(OR(Q14="",Q14=0,R14=""),"",R14/Q14)</f>
        <v/>
      </c>
      <c r="Y14" s="5">
        <f>IF(OR(S14="",S14=0,T14=""),"",T14/S14)</f>
        <v/>
      </c>
      <c r="Z14" s="2" t="inlineStr"/>
      <c r="AA14" s="2" t="inlineStr"/>
      <c r="AB14" s="2" t="inlineStr"/>
    </row>
    <row r="15" ht="4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6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5">
        <f>IF(OR(COUNT(L15:O15)&lt;4,P15="",P15=0),"",SUM(L15:O15)/P15)</f>
        <v/>
      </c>
      <c r="W15" s="5">
        <f>IF(OR(P15="",P15=0,Q15=""),"",Q15/P15)</f>
        <v/>
      </c>
      <c r="X15" s="5">
        <f>IF(OR(Q15="",Q15=0,R15=""),"",R15/Q15)</f>
        <v/>
      </c>
      <c r="Y15" s="5">
        <f>IF(OR(S15="",S15=0,T15=""),"",T15/S15)</f>
        <v/>
      </c>
      <c r="Z15" s="3" t="inlineStr"/>
      <c r="AA15" s="3" t="inlineStr"/>
      <c r="AB15" s="3" t="inlineStr"/>
    </row>
    <row r="16" ht="4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4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5">
        <f>IF(OR(COUNT(L16:O16)&lt;4,P16="",P16=0),"",SUM(L16:O16)/P16)</f>
        <v/>
      </c>
      <c r="W16" s="5">
        <f>IF(OR(P16="",P16=0,Q16=""),"",Q16/P16)</f>
        <v/>
      </c>
      <c r="X16" s="5">
        <f>IF(OR(Q16="",Q16=0,R16=""),"",R16/Q16)</f>
        <v/>
      </c>
      <c r="Y16" s="5">
        <f>IF(OR(S16="",S16=0,T16=""),"",T16/S16)</f>
        <v/>
      </c>
      <c r="Z16" s="2" t="inlineStr"/>
      <c r="AA16" s="2" t="inlineStr"/>
      <c r="AB16" s="2" t="inlineStr"/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6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5">
        <f>IF(OR(COUNT(L17:O17)&lt;4,P17="",P17=0),"",SUM(L17:O17)/P17)</f>
        <v/>
      </c>
      <c r="W17" s="5">
        <f>IF(OR(P17="",P17=0,Q17=""),"",Q17/P17)</f>
        <v/>
      </c>
      <c r="X17" s="5">
        <f>IF(OR(Q17="",Q17=0,R17=""),"",R17/Q17)</f>
        <v/>
      </c>
      <c r="Y17" s="5">
        <f>IF(OR(S17="",S17=0,T17=""),"",T17/S17)</f>
        <v/>
      </c>
      <c r="Z17" s="3" t="inlineStr"/>
      <c r="AA17" s="3" t="inlineStr"/>
      <c r="AB17" s="3" t="inlineStr"/>
    </row>
    <row r="18" ht="4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4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5">
        <f>IF(OR(COUNT(L18:O18)&lt;4,P18="",P18=0),"",SUM(L18:O18)/P18)</f>
        <v/>
      </c>
      <c r="W18" s="5">
        <f>IF(OR(P18="",P18=0,Q18=""),"",Q18/P18)</f>
        <v/>
      </c>
      <c r="X18" s="5">
        <f>IF(OR(Q18="",Q18=0,R18=""),"",R18/Q18)</f>
        <v/>
      </c>
      <c r="Y18" s="5">
        <f>IF(OR(S18="",S18=0,T18=""),"",T18/S18)</f>
        <v/>
      </c>
      <c r="Z18" s="2" t="inlineStr"/>
      <c r="AA18" s="2" t="inlineStr"/>
      <c r="AB18" s="2" t="inlineStr"/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6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5">
        <f>IF(OR(COUNT(L19:O19)&lt;4,P19="",P19=0),"",SUM(L19:O19)/P19)</f>
        <v/>
      </c>
      <c r="W19" s="5">
        <f>IF(OR(P19="",P19=0,Q19=""),"",Q19/P19)</f>
        <v/>
      </c>
      <c r="X19" s="5">
        <f>IF(OR(Q19="",Q19=0,R19=""),"",R19/Q19)</f>
        <v/>
      </c>
      <c r="Y19" s="5">
        <f>IF(OR(S19="",S19=0,T19=""),"",T19/S19)</f>
        <v/>
      </c>
      <c r="Z19" s="3" t="inlineStr"/>
      <c r="AA19" s="3" t="inlineStr"/>
      <c r="AB19" s="3" t="inlineStr"/>
    </row>
    <row r="20" ht="4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4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5">
        <f>IF(OR(COUNT(L20:O20)&lt;4,P20="",P20=0),"",SUM(L20:O20)/P20)</f>
        <v/>
      </c>
      <c r="W20" s="5">
        <f>IF(OR(P20="",P20=0,Q20=""),"",Q20/P20)</f>
        <v/>
      </c>
      <c r="X20" s="5">
        <f>IF(OR(Q20="",Q20=0,R20=""),"",R20/Q20)</f>
        <v/>
      </c>
      <c r="Y20" s="5">
        <f>IF(OR(S20="",S20=0,T20=""),"",T20/S20)</f>
        <v/>
      </c>
      <c r="Z20" s="2" t="inlineStr"/>
      <c r="AA20" s="2" t="inlineStr"/>
      <c r="AB20" s="2" t="inlineStr"/>
    </row>
    <row r="21" ht="4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6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5">
        <f>IF(OR(COUNT(L21:O21)&lt;4,P21="",P21=0),"",SUM(L21:O21)/P21)</f>
        <v/>
      </c>
      <c r="W21" s="5">
        <f>IF(OR(P21="",P21=0,Q21=""),"",Q21/P21)</f>
        <v/>
      </c>
      <c r="X21" s="5">
        <f>IF(OR(Q21="",Q21=0,R21=""),"",R21/Q21)</f>
        <v/>
      </c>
      <c r="Y21" s="5">
        <f>IF(OR(S21="",S21=0,T21=""),"",T21/S21)</f>
        <v/>
      </c>
      <c r="Z21" s="3" t="inlineStr"/>
      <c r="AA21" s="3" t="inlineStr"/>
      <c r="AB21" s="3" t="inlineStr"/>
    </row>
    <row r="22" ht="40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4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5">
        <f>IF(OR(COUNT(L22:O22)&lt;4,P22="",P22=0),"",SUM(L22:O22)/P22)</f>
        <v/>
      </c>
      <c r="W22" s="5">
        <f>IF(OR(P22="",P22=0,Q22=""),"",Q22/P22)</f>
        <v/>
      </c>
      <c r="X22" s="5">
        <f>IF(OR(Q22="",Q22=0,R22=""),"",R22/Q22)</f>
        <v/>
      </c>
      <c r="Y22" s="5">
        <f>IF(OR(S22="",S22=0,T22=""),"",T22/S22)</f>
        <v/>
      </c>
      <c r="Z22" s="2" t="inlineStr"/>
      <c r="AA22" s="2" t="inlineStr"/>
      <c r="AB22" s="2" t="inlineStr"/>
    </row>
    <row r="23" ht="4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6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5">
        <f>IF(OR(COUNT(L23:O23)&lt;4,P23="",P23=0),"",SUM(L23:O23)/P23)</f>
        <v/>
      </c>
      <c r="W23" s="5">
        <f>IF(OR(P23="",P23=0,Q23=""),"",Q23/P23)</f>
        <v/>
      </c>
      <c r="X23" s="5">
        <f>IF(OR(Q23="",Q23=0,R23=""),"",R23/Q23)</f>
        <v/>
      </c>
      <c r="Y23" s="5">
        <f>IF(OR(S23="",S23=0,T23=""),"",T23/S23)</f>
        <v/>
      </c>
      <c r="Z23" s="3" t="inlineStr"/>
      <c r="AA23" s="3" t="inlineStr"/>
      <c r="AB23" s="3" t="inlineStr"/>
    </row>
    <row r="24" ht="40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4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5">
        <f>IF(OR(COUNT(L24:O24)&lt;4,P24="",P24=0),"",SUM(L24:O24)/P24)</f>
        <v/>
      </c>
      <c r="W24" s="5">
        <f>IF(OR(P24="",P24=0,Q24=""),"",Q24/P24)</f>
        <v/>
      </c>
      <c r="X24" s="5">
        <f>IF(OR(Q24="",Q24=0,R24=""),"",R24/Q24)</f>
        <v/>
      </c>
      <c r="Y24" s="5">
        <f>IF(OR(S24="",S24=0,T24=""),"",T24/S24)</f>
        <v/>
      </c>
      <c r="Z24" s="2" t="inlineStr"/>
      <c r="AA24" s="2" t="inlineStr"/>
      <c r="AB24" s="2" t="inlineStr"/>
    </row>
    <row r="25" ht="4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6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5">
        <f>IF(OR(COUNT(L25:O25)&lt;4,P25="",P25=0),"",SUM(L25:O25)/P25)</f>
        <v/>
      </c>
      <c r="W25" s="5">
        <f>IF(OR(P25="",P25=0,Q25=""),"",Q25/P25)</f>
        <v/>
      </c>
      <c r="X25" s="5">
        <f>IF(OR(Q25="",Q25=0,R25=""),"",R25/Q25)</f>
        <v/>
      </c>
      <c r="Y25" s="5">
        <f>IF(OR(S25="",S25=0,T25=""),"",T25/S25)</f>
        <v/>
      </c>
      <c r="Z25" s="3" t="inlineStr"/>
      <c r="AA25" s="3" t="inlineStr"/>
      <c r="AB25" s="3" t="inlineStr"/>
    </row>
    <row r="26" ht="40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4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5">
        <f>IF(OR(COUNT(L26:O26)&lt;4,P26="",P26=0),"",SUM(L26:O26)/P26)</f>
        <v/>
      </c>
      <c r="W26" s="5">
        <f>IF(OR(P26="",P26=0,Q26=""),"",Q26/P26)</f>
        <v/>
      </c>
      <c r="X26" s="5">
        <f>IF(OR(Q26="",Q26=0,R26=""),"",R26/Q26)</f>
        <v/>
      </c>
      <c r="Y26" s="5">
        <f>IF(OR(S26="",S26=0,T26=""),"",T26/S26)</f>
        <v/>
      </c>
      <c r="Z26" s="2" t="inlineStr"/>
      <c r="AA26" s="2" t="inlineStr"/>
      <c r="AB26" s="2" t="inlineStr"/>
    </row>
    <row r="27" ht="4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6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5">
        <f>IF(OR(COUNT(L27:O27)&lt;4,P27="",P27=0),"",SUM(L27:O27)/P27)</f>
        <v/>
      </c>
      <c r="W27" s="5">
        <f>IF(OR(P27="",P27=0,Q27=""),"",Q27/P27)</f>
        <v/>
      </c>
      <c r="X27" s="5">
        <f>IF(OR(Q27="",Q27=0,R27=""),"",R27/Q27)</f>
        <v/>
      </c>
      <c r="Y27" s="5">
        <f>IF(OR(S27="",S27=0,T27=""),"",T27/S27)</f>
        <v/>
      </c>
      <c r="Z27" s="3" t="inlineStr"/>
      <c r="AA27" s="3" t="inlineStr"/>
      <c r="AB27" s="3" t="inlineStr"/>
    </row>
    <row r="28" ht="40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4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5">
        <f>IF(OR(COUNT(L28:O28)&lt;4,P28="",P28=0),"",SUM(L28:O28)/P28)</f>
        <v/>
      </c>
      <c r="W28" s="5">
        <f>IF(OR(P28="",P28=0,Q28=""),"",Q28/P28)</f>
        <v/>
      </c>
      <c r="X28" s="5">
        <f>IF(OR(Q28="",Q28=0,R28=""),"",R28/Q28)</f>
        <v/>
      </c>
      <c r="Y28" s="5">
        <f>IF(OR(S28="",S28=0,T28=""),"",T28/S28)</f>
        <v/>
      </c>
      <c r="Z28" s="2" t="inlineStr"/>
      <c r="AA28" s="2" t="inlineStr"/>
      <c r="AB28" s="2" t="inlineStr"/>
    </row>
    <row r="29" ht="4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6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5">
        <f>IF(OR(COUNT(L29:O29)&lt;4,P29="",P29=0),"",SUM(L29:O29)/P29)</f>
        <v/>
      </c>
      <c r="W29" s="5">
        <f>IF(OR(P29="",P29=0,Q29=""),"",Q29/P29)</f>
        <v/>
      </c>
      <c r="X29" s="5">
        <f>IF(OR(Q29="",Q29=0,R29=""),"",R29/Q29)</f>
        <v/>
      </c>
      <c r="Y29" s="5">
        <f>IF(OR(S29="",S29=0,T29=""),"",T29/S29)</f>
        <v/>
      </c>
      <c r="Z29" s="3" t="inlineStr"/>
      <c r="AA29" s="3" t="inlineStr"/>
      <c r="AB29" s="3" t="inlineStr"/>
    </row>
    <row r="30" ht="40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4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5">
        <f>IF(OR(COUNT(L30:O30)&lt;4,P30="",P30=0),"",SUM(L30:O30)/P30)</f>
        <v/>
      </c>
      <c r="W30" s="5">
        <f>IF(OR(P30="",P30=0,Q30=""),"",Q30/P30)</f>
        <v/>
      </c>
      <c r="X30" s="5">
        <f>IF(OR(Q30="",Q30=0,R30=""),"",R30/Q30)</f>
        <v/>
      </c>
      <c r="Y30" s="5">
        <f>IF(OR(S30="",S30=0,T30=""),"",T30/S30)</f>
        <v/>
      </c>
      <c r="Z30" s="2" t="inlineStr"/>
      <c r="AA30" s="2" t="inlineStr"/>
      <c r="AB30" s="2" t="inlineStr"/>
    </row>
    <row r="31" ht="4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6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5">
        <f>IF(OR(COUNT(L31:O31)&lt;4,P31="",P31=0),"",SUM(L31:O31)/P31)</f>
        <v/>
      </c>
      <c r="W31" s="5">
        <f>IF(OR(P31="",P31=0,Q31=""),"",Q31/P31)</f>
        <v/>
      </c>
      <c r="X31" s="5">
        <f>IF(OR(Q31="",Q31=0,R31=""),"",R31/Q31)</f>
        <v/>
      </c>
      <c r="Y31" s="5">
        <f>IF(OR(S31="",S31=0,T31=""),"",T31/S31)</f>
        <v/>
      </c>
      <c r="Z31" s="3" t="inlineStr"/>
      <c r="AA31" s="3" t="inlineStr"/>
      <c r="AB31" s="3" t="inlineStr"/>
    </row>
    <row r="32" ht="40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4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5">
        <f>IF(OR(COUNT(L32:O32)&lt;4,P32="",P32=0),"",SUM(L32:O32)/P32)</f>
        <v/>
      </c>
      <c r="W32" s="5">
        <f>IF(OR(P32="",P32=0,Q32=""),"",Q32/P32)</f>
        <v/>
      </c>
      <c r="X32" s="5">
        <f>IF(OR(Q32="",Q32=0,R32=""),"",R32/Q32)</f>
        <v/>
      </c>
      <c r="Y32" s="5">
        <f>IF(OR(S32="",S32=0,T32=""),"",T32/S32)</f>
        <v/>
      </c>
      <c r="Z32" s="2" t="inlineStr"/>
      <c r="AA32" s="2" t="inlineStr"/>
      <c r="AB32" s="2" t="inlineStr"/>
    </row>
    <row r="33" ht="40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6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5">
        <f>IF(OR(COUNT(L33:O33)&lt;4,P33="",P33=0),"",SUM(L33:O33)/P33)</f>
        <v/>
      </c>
      <c r="W33" s="5">
        <f>IF(OR(P33="",P33=0,Q33=""),"",Q33/P33)</f>
        <v/>
      </c>
      <c r="X33" s="5">
        <f>IF(OR(Q33="",Q33=0,R33=""),"",R33/Q33)</f>
        <v/>
      </c>
      <c r="Y33" s="5">
        <f>IF(OR(S33="",S33=0,T33=""),"",T33/S33)</f>
        <v/>
      </c>
      <c r="Z33" s="3" t="inlineStr"/>
      <c r="AA33" s="3" t="inlineStr"/>
      <c r="AB33" s="3" t="inlineStr"/>
    </row>
    <row r="34" ht="40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4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5">
        <f>IF(OR(COUNT(L34:O34)&lt;4,P34="",P34=0),"",SUM(L34:O34)/P34)</f>
        <v/>
      </c>
      <c r="W34" s="5">
        <f>IF(OR(P34="",P34=0,Q34=""),"",Q34/P34)</f>
        <v/>
      </c>
      <c r="X34" s="5">
        <f>IF(OR(Q34="",Q34=0,R34=""),"",R34/Q34)</f>
        <v/>
      </c>
      <c r="Y34" s="5">
        <f>IF(OR(S34="",S34=0,T34=""),"",T34/S34)</f>
        <v/>
      </c>
      <c r="Z34" s="2" t="inlineStr"/>
      <c r="AA34" s="2" t="inlineStr"/>
      <c r="AB34" s="2" t="inlineStr"/>
    </row>
    <row r="35" ht="40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6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5">
        <f>IF(OR(COUNT(L35:O35)&lt;4,P35="",P35=0),"",SUM(L35:O35)/P35)</f>
        <v/>
      </c>
      <c r="W35" s="5">
        <f>IF(OR(P35="",P35=0,Q35=""),"",Q35/P35)</f>
        <v/>
      </c>
      <c r="X35" s="5">
        <f>IF(OR(Q35="",Q35=0,R35=""),"",R35/Q35)</f>
        <v/>
      </c>
      <c r="Y35" s="5">
        <f>IF(OR(S35="",S35=0,T35=""),"",T35/S35)</f>
        <v/>
      </c>
      <c r="Z35" s="3" t="inlineStr"/>
      <c r="AA35" s="3" t="inlineStr"/>
      <c r="AB35" s="3" t="inlineStr"/>
    </row>
    <row r="36" ht="40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4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5">
        <f>IF(OR(COUNT(L36:O36)&lt;4,P36="",P36=0),"",SUM(L36:O36)/P36)</f>
        <v/>
      </c>
      <c r="W36" s="5">
        <f>IF(OR(P36="",P36=0,Q36=""),"",Q36/P36)</f>
        <v/>
      </c>
      <c r="X36" s="5">
        <f>IF(OR(Q36="",Q36=0,R36=""),"",R36/Q36)</f>
        <v/>
      </c>
      <c r="Y36" s="5">
        <f>IF(OR(S36="",S36=0,T36=""),"",T36/S36)</f>
        <v/>
      </c>
      <c r="Z36" s="2" t="inlineStr"/>
      <c r="AA36" s="2" t="inlineStr"/>
      <c r="AB36" s="2" t="inlineStr"/>
    </row>
    <row r="37" ht="40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6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5">
        <f>IF(OR(COUNT(L37:O37)&lt;4,P37="",P37=0),"",SUM(L37:O37)/P37)</f>
        <v/>
      </c>
      <c r="W37" s="5">
        <f>IF(OR(P37="",P37=0,Q37=""),"",Q37/P37)</f>
        <v/>
      </c>
      <c r="X37" s="5">
        <f>IF(OR(Q37="",Q37=0,R37=""),"",R37/Q37)</f>
        <v/>
      </c>
      <c r="Y37" s="5">
        <f>IF(OR(S37="",S37=0,T37=""),"",T37/S37)</f>
        <v/>
      </c>
      <c r="Z37" s="3" t="inlineStr"/>
      <c r="AA37" s="3" t="inlineStr"/>
      <c r="AB37" s="3" t="inlineStr"/>
    </row>
    <row r="38" ht="40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4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5">
        <f>IF(OR(COUNT(L38:O38)&lt;4,P38="",P38=0),"",SUM(L38:O38)/P38)</f>
        <v/>
      </c>
      <c r="W38" s="5">
        <f>IF(OR(P38="",P38=0,Q38=""),"",Q38/P38)</f>
        <v/>
      </c>
      <c r="X38" s="5">
        <f>IF(OR(Q38="",Q38=0,R38=""),"",R38/Q38)</f>
        <v/>
      </c>
      <c r="Y38" s="5">
        <f>IF(OR(S38="",S38=0,T38=""),"",T38/S38)</f>
        <v/>
      </c>
      <c r="Z38" s="2" t="inlineStr"/>
      <c r="AA38" s="2" t="inlineStr"/>
      <c r="AB38" s="2" t="inlineStr"/>
    </row>
    <row r="39" ht="40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6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5">
        <f>IF(OR(COUNT(L39:O39)&lt;4,P39="",P39=0),"",SUM(L39:O39)/P39)</f>
        <v/>
      </c>
      <c r="W39" s="5">
        <f>IF(OR(P39="",P39=0,Q39=""),"",Q39/P39)</f>
        <v/>
      </c>
      <c r="X39" s="5">
        <f>IF(OR(Q39="",Q39=0,R39=""),"",R39/Q39)</f>
        <v/>
      </c>
      <c r="Y39" s="5">
        <f>IF(OR(S39="",S39=0,T39=""),"",T39/S39)</f>
        <v/>
      </c>
      <c r="Z39" s="3" t="inlineStr"/>
      <c r="AA39" s="3" t="inlineStr"/>
      <c r="AB39" s="3" t="inlineStr"/>
    </row>
    <row r="40" ht="40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4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5">
        <f>IF(OR(COUNT(L40:O40)&lt;4,P40="",P40=0),"",SUM(L40:O40)/P40)</f>
        <v/>
      </c>
      <c r="W40" s="5">
        <f>IF(OR(P40="",P40=0,Q40=""),"",Q40/P40)</f>
        <v/>
      </c>
      <c r="X40" s="5">
        <f>IF(OR(Q40="",Q40=0,R40=""),"",R40/Q40)</f>
        <v/>
      </c>
      <c r="Y40" s="5">
        <f>IF(OR(S40="",S40=0,T40=""),"",T40/S40)</f>
        <v/>
      </c>
      <c r="Z40" s="2" t="inlineStr"/>
      <c r="AA40" s="2" t="inlineStr"/>
      <c r="AB40" s="2" t="inlineStr"/>
    </row>
    <row r="41" ht="40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6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5">
        <f>IF(OR(COUNT(L41:O41)&lt;4,P41="",P41=0),"",SUM(L41:O41)/P41)</f>
        <v/>
      </c>
      <c r="W41" s="5">
        <f>IF(OR(P41="",P41=0,Q41=""),"",Q41/P41)</f>
        <v/>
      </c>
      <c r="X41" s="5">
        <f>IF(OR(Q41="",Q41=0,R41=""),"",R41/Q41)</f>
        <v/>
      </c>
      <c r="Y41" s="5">
        <f>IF(OR(S41="",S41=0,T41=""),"",T41/S41)</f>
        <v/>
      </c>
      <c r="Z41" s="3" t="inlineStr"/>
      <c r="AA41" s="3" t="inlineStr"/>
      <c r="AB41" s="3" t="inlineStr"/>
    </row>
    <row r="42" ht="40" customHeight="1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4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5">
        <f>IF(OR(COUNT(L42:O42)&lt;4,P42="",P42=0),"",SUM(L42:O42)/P42)</f>
        <v/>
      </c>
      <c r="W42" s="5">
        <f>IF(OR(P42="",P42=0,Q42=""),"",Q42/P42)</f>
        <v/>
      </c>
      <c r="X42" s="5">
        <f>IF(OR(Q42="",Q42=0,R42=""),"",R42/Q42)</f>
        <v/>
      </c>
      <c r="Y42" s="5">
        <f>IF(OR(S42="",S42=0,T42=""),"",T42/S42)</f>
        <v/>
      </c>
      <c r="Z42" s="2" t="inlineStr"/>
      <c r="AA42" s="2" t="inlineStr"/>
      <c r="AB42" s="2" t="inlineStr"/>
    </row>
    <row r="43" ht="40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6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5">
        <f>IF(OR(COUNT(L43:O43)&lt;4,P43="",P43=0),"",SUM(L43:O43)/P43)</f>
        <v/>
      </c>
      <c r="W43" s="5">
        <f>IF(OR(P43="",P43=0,Q43=""),"",Q43/P43)</f>
        <v/>
      </c>
      <c r="X43" s="5">
        <f>IF(OR(Q43="",Q43=0,R43=""),"",R43/Q43)</f>
        <v/>
      </c>
      <c r="Y43" s="5">
        <f>IF(OR(S43="",S43=0,T43=""),"",T43/S43)</f>
        <v/>
      </c>
      <c r="Z43" s="3" t="inlineStr"/>
      <c r="AA43" s="3" t="inlineStr"/>
      <c r="AB43" s="3" t="inlineStr"/>
    </row>
    <row r="44" ht="40" customHeight="1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4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5">
        <f>IF(OR(COUNT(L44:O44)&lt;4,P44="",P44=0),"",SUM(L44:O44)/P44)</f>
        <v/>
      </c>
      <c r="W44" s="5">
        <f>IF(OR(P44="",P44=0,Q44=""),"",Q44/P44)</f>
        <v/>
      </c>
      <c r="X44" s="5">
        <f>IF(OR(Q44="",Q44=0,R44=""),"",R44/Q44)</f>
        <v/>
      </c>
      <c r="Y44" s="5">
        <f>IF(OR(S44="",S44=0,T44=""),"",T44/S44)</f>
        <v/>
      </c>
      <c r="Z44" s="2" t="inlineStr"/>
      <c r="AA44" s="2" t="inlineStr"/>
      <c r="AB44" s="2" t="inlineStr"/>
    </row>
    <row r="45" ht="40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6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5">
        <f>IF(OR(COUNT(L45:O45)&lt;4,P45="",P45=0),"",SUM(L45:O45)/P45)</f>
        <v/>
      </c>
      <c r="W45" s="5">
        <f>IF(OR(P45="",P45=0,Q45=""),"",Q45/P45)</f>
        <v/>
      </c>
      <c r="X45" s="5">
        <f>IF(OR(Q45="",Q45=0,R45=""),"",R45/Q45)</f>
        <v/>
      </c>
      <c r="Y45" s="5">
        <f>IF(OR(S45="",S45=0,T45=""),"",T45/S45)</f>
        <v/>
      </c>
      <c r="Z45" s="3" t="inlineStr"/>
      <c r="AA45" s="3" t="inlineStr"/>
      <c r="AB45" s="3" t="inlineStr"/>
    </row>
    <row r="46" ht="40" customHeight="1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4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5">
        <f>IF(OR(COUNT(L46:O46)&lt;4,P46="",P46=0),"",SUM(L46:O46)/P46)</f>
        <v/>
      </c>
      <c r="W46" s="5">
        <f>IF(OR(P46="",P46=0,Q46=""),"",Q46/P46)</f>
        <v/>
      </c>
      <c r="X46" s="5">
        <f>IF(OR(Q46="",Q46=0,R46=""),"",R46/Q46)</f>
        <v/>
      </c>
      <c r="Y46" s="5">
        <f>IF(OR(S46="",S46=0,T46=""),"",T46/S46)</f>
        <v/>
      </c>
      <c r="Z46" s="2" t="inlineStr"/>
      <c r="AA46" s="2" t="inlineStr"/>
      <c r="AB46" s="2" t="inlineStr"/>
    </row>
    <row r="47" ht="40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6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5">
        <f>IF(OR(COUNT(L47:O47)&lt;4,P47="",P47=0),"",SUM(L47:O47)/P47)</f>
        <v/>
      </c>
      <c r="W47" s="5">
        <f>IF(OR(P47="",P47=0,Q47=""),"",Q47/P47)</f>
        <v/>
      </c>
      <c r="X47" s="5">
        <f>IF(OR(Q47="",Q47=0,R47=""),"",R47/Q47)</f>
        <v/>
      </c>
      <c r="Y47" s="5">
        <f>IF(OR(S47="",S47=0,T47=""),"",T47/S47)</f>
        <v/>
      </c>
      <c r="Z47" s="3" t="inlineStr"/>
      <c r="AA47" s="3" t="inlineStr"/>
      <c r="AB47" s="3" t="inlineStr"/>
    </row>
    <row r="48" ht="40" customHeight="1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4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5">
        <f>IF(OR(COUNT(L48:O48)&lt;4,P48="",P48=0),"",SUM(L48:O48)/P48)</f>
        <v/>
      </c>
      <c r="W48" s="5">
        <f>IF(OR(P48="",P48=0,Q48=""),"",Q48/P48)</f>
        <v/>
      </c>
      <c r="X48" s="5">
        <f>IF(OR(Q48="",Q48=0,R48=""),"",R48/Q48)</f>
        <v/>
      </c>
      <c r="Y48" s="5">
        <f>IF(OR(S48="",S48=0,T48=""),"",T48/S48)</f>
        <v/>
      </c>
      <c r="Z48" s="2" t="inlineStr"/>
      <c r="AA48" s="2" t="inlineStr"/>
      <c r="AB48" s="2" t="inlineStr"/>
    </row>
    <row r="49" ht="40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6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5">
        <f>IF(OR(COUNT(L49:O49)&lt;4,P49="",P49=0),"",SUM(L49:O49)/P49)</f>
        <v/>
      </c>
      <c r="W49" s="5">
        <f>IF(OR(P49="",P49=0,Q49=""),"",Q49/P49)</f>
        <v/>
      </c>
      <c r="X49" s="5">
        <f>IF(OR(Q49="",Q49=0,R49=""),"",R49/Q49)</f>
        <v/>
      </c>
      <c r="Y49" s="5">
        <f>IF(OR(S49="",S49=0,T49=""),"",T49/S49)</f>
        <v/>
      </c>
      <c r="Z49" s="3" t="inlineStr"/>
      <c r="AA49" s="3" t="inlineStr"/>
      <c r="AB49" s="3" t="inlineStr"/>
    </row>
    <row r="50" ht="40" customHeight="1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4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5">
        <f>IF(OR(COUNT(L50:O50)&lt;4,P50="",P50=0),"",SUM(L50:O50)/P50)</f>
        <v/>
      </c>
      <c r="W50" s="5">
        <f>IF(OR(P50="",P50=0,Q50=""),"",Q50/P50)</f>
        <v/>
      </c>
      <c r="X50" s="5">
        <f>IF(OR(Q50="",Q50=0,R50=""),"",R50/Q50)</f>
        <v/>
      </c>
      <c r="Y50" s="5">
        <f>IF(OR(S50="",S50=0,T50=""),"",T50/S50)</f>
        <v/>
      </c>
      <c r="Z50" s="2" t="inlineStr"/>
      <c r="AA50" s="2" t="inlineStr"/>
      <c r="AB50" s="2" t="inlineStr"/>
    </row>
    <row r="51" ht="40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6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5">
        <f>IF(OR(COUNT(L51:O51)&lt;4,P51="",P51=0),"",SUM(L51:O51)/P51)</f>
        <v/>
      </c>
      <c r="W51" s="5">
        <f>IF(OR(P51="",P51=0,Q51=""),"",Q51/P51)</f>
        <v/>
      </c>
      <c r="X51" s="5">
        <f>IF(OR(Q51="",Q51=0,R51=""),"",R51/Q51)</f>
        <v/>
      </c>
      <c r="Y51" s="5">
        <f>IF(OR(S51="",S51=0,T51=""),"",T51/S51)</f>
        <v/>
      </c>
      <c r="Z51" s="3" t="inlineStr"/>
      <c r="AA51" s="3" t="inlineStr"/>
      <c r="AB51" s="3" t="inlineStr"/>
    </row>
    <row r="52" ht="40" customHeight="1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4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5">
        <f>IF(OR(COUNT(L52:O52)&lt;4,P52="",P52=0),"",SUM(L52:O52)/P52)</f>
        <v/>
      </c>
      <c r="W52" s="5">
        <f>IF(OR(P52="",P52=0,Q52=""),"",Q52/P52)</f>
        <v/>
      </c>
      <c r="X52" s="5">
        <f>IF(OR(Q52="",Q52=0,R52=""),"",R52/Q52)</f>
        <v/>
      </c>
      <c r="Y52" s="5">
        <f>IF(OR(S52="",S52=0,T52=""),"",T52/S52)</f>
        <v/>
      </c>
      <c r="Z52" s="2" t="inlineStr"/>
      <c r="AA52" s="2" t="inlineStr"/>
      <c r="AB52" s="2" t="inlineStr"/>
    </row>
    <row r="53" ht="40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6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5">
        <f>IF(OR(COUNT(L53:O53)&lt;4,P53="",P53=0),"",SUM(L53:O53)/P53)</f>
        <v/>
      </c>
      <c r="W53" s="5">
        <f>IF(OR(P53="",P53=0,Q53=""),"",Q53/P53)</f>
        <v/>
      </c>
      <c r="X53" s="5">
        <f>IF(OR(Q53="",Q53=0,R53=""),"",R53/Q53)</f>
        <v/>
      </c>
      <c r="Y53" s="5">
        <f>IF(OR(S53="",S53=0,T53=""),"",T53/S53)</f>
        <v/>
      </c>
      <c r="Z53" s="3" t="inlineStr"/>
      <c r="AA53" s="3" t="inlineStr"/>
      <c r="AB53" s="3" t="inlineStr"/>
    </row>
    <row r="54" ht="40" customHeight="1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4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5">
        <f>IF(OR(COUNT(L54:O54)&lt;4,P54="",P54=0),"",SUM(L54:O54)/P54)</f>
        <v/>
      </c>
      <c r="W54" s="5">
        <f>IF(OR(P54="",P54=0,Q54=""),"",Q54/P54)</f>
        <v/>
      </c>
      <c r="X54" s="5">
        <f>IF(OR(Q54="",Q54=0,R54=""),"",R54/Q54)</f>
        <v/>
      </c>
      <c r="Y54" s="5">
        <f>IF(OR(S54="",S54=0,T54=""),"",T54/S54)</f>
        <v/>
      </c>
      <c r="Z54" s="2" t="inlineStr"/>
      <c r="AA54" s="2" t="inlineStr"/>
      <c r="AB54" s="2" t="inlineStr"/>
    </row>
    <row r="55" ht="40" customHeight="1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6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5">
        <f>IF(OR(COUNT(L55:O55)&lt;4,P55="",P55=0),"",SUM(L55:O55)/P55)</f>
        <v/>
      </c>
      <c r="W55" s="5">
        <f>IF(OR(P55="",P55=0,Q55=""),"",Q55/P55)</f>
        <v/>
      </c>
      <c r="X55" s="5">
        <f>IF(OR(Q55="",Q55=0,R55=""),"",R55/Q55)</f>
        <v/>
      </c>
      <c r="Y55" s="5">
        <f>IF(OR(S55="",S55=0,T55=""),"",T55/S55)</f>
        <v/>
      </c>
      <c r="Z55" s="3" t="inlineStr"/>
      <c r="AA55" s="3" t="inlineStr"/>
      <c r="AB55" s="3" t="inlineStr"/>
    </row>
    <row r="56" ht="40" customHeight="1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4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5">
        <f>IF(OR(COUNT(L56:O56)&lt;4,P56="",P56=0),"",SUM(L56:O56)/P56)</f>
        <v/>
      </c>
      <c r="W56" s="5">
        <f>IF(OR(P56="",P56=0,Q56=""),"",Q56/P56)</f>
        <v/>
      </c>
      <c r="X56" s="5">
        <f>IF(OR(Q56="",Q56=0,R56=""),"",R56/Q56)</f>
        <v/>
      </c>
      <c r="Y56" s="5">
        <f>IF(OR(S56="",S56=0,T56=""),"",T56/S56)</f>
        <v/>
      </c>
      <c r="Z56" s="2" t="inlineStr"/>
      <c r="AA56" s="2" t="inlineStr"/>
      <c r="AB56" s="2" t="inlineStr"/>
    </row>
    <row r="57" ht="40" customHeight="1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6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5">
        <f>IF(OR(COUNT(L57:O57)&lt;4,P57="",P57=0),"",SUM(L57:O57)/P57)</f>
        <v/>
      </c>
      <c r="W57" s="5">
        <f>IF(OR(P57="",P57=0,Q57=""),"",Q57/P57)</f>
        <v/>
      </c>
      <c r="X57" s="5">
        <f>IF(OR(Q57="",Q57=0,R57=""),"",R57/Q57)</f>
        <v/>
      </c>
      <c r="Y57" s="5">
        <f>IF(OR(S57="",S57=0,T57=""),"",T57/S57)</f>
        <v/>
      </c>
      <c r="Z57" s="3" t="inlineStr"/>
      <c r="AA57" s="3" t="inlineStr"/>
      <c r="AB57" s="3" t="inlineStr"/>
    </row>
    <row r="58" ht="40" customHeight="1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4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5">
        <f>IF(OR(COUNT(L58:O58)&lt;4,P58="",P58=0),"",SUM(L58:O58)/P58)</f>
        <v/>
      </c>
      <c r="W58" s="5">
        <f>IF(OR(P58="",P58=0,Q58=""),"",Q58/P58)</f>
        <v/>
      </c>
      <c r="X58" s="5">
        <f>IF(OR(Q58="",Q58=0,R58=""),"",R58/Q58)</f>
        <v/>
      </c>
      <c r="Y58" s="5">
        <f>IF(OR(S58="",S58=0,T58=""),"",T58/S58)</f>
        <v/>
      </c>
      <c r="Z58" s="2" t="inlineStr"/>
      <c r="AA58" s="2" t="inlineStr"/>
      <c r="AB58" s="2" t="inlineStr"/>
    </row>
    <row r="59" ht="40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6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5">
        <f>IF(OR(COUNT(L59:O59)&lt;4,P59="",P59=0),"",SUM(L59:O59)/P59)</f>
        <v/>
      </c>
      <c r="W59" s="5">
        <f>IF(OR(P59="",P59=0,Q59=""),"",Q59/P59)</f>
        <v/>
      </c>
      <c r="X59" s="5">
        <f>IF(OR(Q59="",Q59=0,R59=""),"",R59/Q59)</f>
        <v/>
      </c>
      <c r="Y59" s="5">
        <f>IF(OR(S59="",S59=0,T59=""),"",T59/S59)</f>
        <v/>
      </c>
      <c r="Z59" s="3" t="inlineStr"/>
      <c r="AA59" s="3" t="inlineStr"/>
      <c r="AB59" s="3" t="inlineStr"/>
    </row>
    <row r="60" ht="40" customHeight="1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4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5">
        <f>IF(OR(COUNT(L60:O60)&lt;4,P60="",P60=0),"",SUM(L60:O60)/P60)</f>
        <v/>
      </c>
      <c r="W60" s="5">
        <f>IF(OR(P60="",P60=0,Q60=""),"",Q60/P60)</f>
        <v/>
      </c>
      <c r="X60" s="5">
        <f>IF(OR(Q60="",Q60=0,R60=""),"",R60/Q60)</f>
        <v/>
      </c>
      <c r="Y60" s="5">
        <f>IF(OR(S60="",S60=0,T60=""),"",T60/S60)</f>
        <v/>
      </c>
      <c r="Z60" s="2" t="inlineStr"/>
      <c r="AA60" s="2" t="inlineStr"/>
      <c r="AB60" s="2" t="inlineStr"/>
    </row>
    <row r="61" ht="40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6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5">
        <f>IF(OR(COUNT(L61:O61)&lt;4,P61="",P61=0),"",SUM(L61:O61)/P61)</f>
        <v/>
      </c>
      <c r="W61" s="5">
        <f>IF(OR(P61="",P61=0,Q61=""),"",Q61/P61)</f>
        <v/>
      </c>
      <c r="X61" s="5">
        <f>IF(OR(Q61="",Q61=0,R61=""),"",R61/Q61)</f>
        <v/>
      </c>
      <c r="Y61" s="5">
        <f>IF(OR(S61="",S61=0,T61=""),"",T61/S61)</f>
        <v/>
      </c>
      <c r="Z61" s="3" t="inlineStr"/>
      <c r="AA61" s="3" t="inlineStr"/>
      <c r="AB61" s="3" t="inlineStr"/>
    </row>
    <row r="62" ht="40" customHeight="1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4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5">
        <f>IF(OR(COUNT(L62:O62)&lt;4,P62="",P62=0),"",SUM(L62:O62)/P62)</f>
        <v/>
      </c>
      <c r="W62" s="5">
        <f>IF(OR(P62="",P62=0,Q62=""),"",Q62/P62)</f>
        <v/>
      </c>
      <c r="X62" s="5">
        <f>IF(OR(Q62="",Q62=0,R62=""),"",R62/Q62)</f>
        <v/>
      </c>
      <c r="Y62" s="5">
        <f>IF(OR(S62="",S62=0,T62=""),"",T62/S62)</f>
        <v/>
      </c>
      <c r="Z62" s="2" t="inlineStr"/>
      <c r="AA62" s="2" t="inlineStr"/>
      <c r="AB62" s="2" t="inlineStr"/>
    </row>
    <row r="63" ht="40" customHeight="1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6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5">
        <f>IF(OR(COUNT(L63:O63)&lt;4,P63="",P63=0),"",SUM(L63:O63)/P63)</f>
        <v/>
      </c>
      <c r="W63" s="5">
        <f>IF(OR(P63="",P63=0,Q63=""),"",Q63/P63)</f>
        <v/>
      </c>
      <c r="X63" s="5">
        <f>IF(OR(Q63="",Q63=0,R63=""),"",R63/Q63)</f>
        <v/>
      </c>
      <c r="Y63" s="5">
        <f>IF(OR(S63="",S63=0,T63=""),"",T63/S63)</f>
        <v/>
      </c>
      <c r="Z63" s="3" t="inlineStr"/>
      <c r="AA63" s="3" t="inlineStr"/>
      <c r="AB63" s="3" t="inlineStr"/>
    </row>
    <row r="64" ht="40" customHeight="1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4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5">
        <f>IF(OR(COUNT(L64:O64)&lt;4,P64="",P64=0),"",SUM(L64:O64)/P64)</f>
        <v/>
      </c>
      <c r="W64" s="5">
        <f>IF(OR(P64="",P64=0,Q64=""),"",Q64/P64)</f>
        <v/>
      </c>
      <c r="X64" s="5">
        <f>IF(OR(Q64="",Q64=0,R64=""),"",R64/Q64)</f>
        <v/>
      </c>
      <c r="Y64" s="5">
        <f>IF(OR(S64="",S64=0,T64=""),"",T64/S64)</f>
        <v/>
      </c>
      <c r="Z64" s="2" t="inlineStr"/>
      <c r="AA64" s="2" t="inlineStr"/>
      <c r="AB64" s="2" t="inlineStr"/>
    </row>
    <row r="65" ht="40" customHeight="1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6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5">
        <f>IF(OR(COUNT(L65:O65)&lt;4,P65="",P65=0),"",SUM(L65:O65)/P65)</f>
        <v/>
      </c>
      <c r="W65" s="5">
        <f>IF(OR(P65="",P65=0,Q65=""),"",Q65/P65)</f>
        <v/>
      </c>
      <c r="X65" s="5">
        <f>IF(OR(Q65="",Q65=0,R65=""),"",R65/Q65)</f>
        <v/>
      </c>
      <c r="Y65" s="5">
        <f>IF(OR(S65="",S65=0,T65=""),"",T65/S65)</f>
        <v/>
      </c>
      <c r="Z65" s="3" t="inlineStr"/>
      <c r="AA65" s="3" t="inlineStr"/>
      <c r="AB65" s="3" t="inlineStr"/>
    </row>
    <row r="66" ht="40" customHeight="1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4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5">
        <f>IF(OR(COUNT(L66:O66)&lt;4,P66="",P66=0),"",SUM(L66:O66)/P66)</f>
        <v/>
      </c>
      <c r="W66" s="5">
        <f>IF(OR(P66="",P66=0,Q66=""),"",Q66/P66)</f>
        <v/>
      </c>
      <c r="X66" s="5">
        <f>IF(OR(Q66="",Q66=0,R66=""),"",R66/Q66)</f>
        <v/>
      </c>
      <c r="Y66" s="5">
        <f>IF(OR(S66="",S66=0,T66=""),"",T66/S66)</f>
        <v/>
      </c>
      <c r="Z66" s="2" t="inlineStr"/>
      <c r="AA66" s="2" t="inlineStr"/>
      <c r="AB66" s="2" t="inlineStr"/>
    </row>
    <row r="67" ht="40" customHeight="1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6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5">
        <f>IF(OR(COUNT(L67:O67)&lt;4,P67="",P67=0),"",SUM(L67:O67)/P67)</f>
        <v/>
      </c>
      <c r="W67" s="5">
        <f>IF(OR(P67="",P67=0,Q67=""),"",Q67/P67)</f>
        <v/>
      </c>
      <c r="X67" s="5">
        <f>IF(OR(Q67="",Q67=0,R67=""),"",R67/Q67)</f>
        <v/>
      </c>
      <c r="Y67" s="5">
        <f>IF(OR(S67="",S67=0,T67=""),"",T67/S67)</f>
        <v/>
      </c>
      <c r="Z67" s="3" t="inlineStr"/>
      <c r="AA67" s="3" t="inlineStr"/>
      <c r="AB67" s="3" t="inlineStr"/>
    </row>
    <row r="68" ht="40" customHeight="1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4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5">
        <f>IF(OR(COUNT(L68:O68)&lt;4,P68="",P68=0),"",SUM(L68:O68)/P68)</f>
        <v/>
      </c>
      <c r="W68" s="5">
        <f>IF(OR(P68="",P68=0,Q68=""),"",Q68/P68)</f>
        <v/>
      </c>
      <c r="X68" s="5">
        <f>IF(OR(Q68="",Q68=0,R68=""),"",R68/Q68)</f>
        <v/>
      </c>
      <c r="Y68" s="5">
        <f>IF(OR(S68="",S68=0,T68=""),"",T68/S68)</f>
        <v/>
      </c>
      <c r="Z68" s="2" t="inlineStr"/>
      <c r="AA68" s="2" t="inlineStr"/>
      <c r="AB68" s="2" t="inlineStr"/>
    </row>
    <row r="69" ht="40" customHeight="1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6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5">
        <f>IF(OR(COUNT(L69:O69)&lt;4,P69="",P69=0),"",SUM(L69:O69)/P69)</f>
        <v/>
      </c>
      <c r="W69" s="5">
        <f>IF(OR(P69="",P69=0,Q69=""),"",Q69/P69)</f>
        <v/>
      </c>
      <c r="X69" s="5">
        <f>IF(OR(Q69="",Q69=0,R69=""),"",R69/Q69)</f>
        <v/>
      </c>
      <c r="Y69" s="5">
        <f>IF(OR(S69="",S69=0,T69=""),"",T69/S69)</f>
        <v/>
      </c>
      <c r="Z69" s="3" t="inlineStr"/>
      <c r="AA69" s="3" t="inlineStr"/>
      <c r="AB69" s="3" t="inlineStr"/>
    </row>
    <row r="70" ht="40" customHeight="1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4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5">
        <f>IF(OR(COUNT(L70:O70)&lt;4,P70="",P70=0),"",SUM(L70:O70)/P70)</f>
        <v/>
      </c>
      <c r="W70" s="5">
        <f>IF(OR(P70="",P70=0,Q70=""),"",Q70/P70)</f>
        <v/>
      </c>
      <c r="X70" s="5">
        <f>IF(OR(Q70="",Q70=0,R70=""),"",R70/Q70)</f>
        <v/>
      </c>
      <c r="Y70" s="5">
        <f>IF(OR(S70="",S70=0,T70=""),"",T70/S70)</f>
        <v/>
      </c>
      <c r="Z70" s="2" t="inlineStr"/>
      <c r="AA70" s="2" t="inlineStr"/>
      <c r="AB70" s="2" t="inlineStr"/>
    </row>
    <row r="71" ht="40" customHeight="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6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5">
        <f>IF(OR(COUNT(L71:O71)&lt;4,P71="",P71=0),"",SUM(L71:O71)/P71)</f>
        <v/>
      </c>
      <c r="W71" s="5">
        <f>IF(OR(P71="",P71=0,Q71=""),"",Q71/P71)</f>
        <v/>
      </c>
      <c r="X71" s="5">
        <f>IF(OR(Q71="",Q71=0,R71=""),"",R71/Q71)</f>
        <v/>
      </c>
      <c r="Y71" s="5">
        <f>IF(OR(S71="",S71=0,T71=""),"",T71/S71)</f>
        <v/>
      </c>
      <c r="Z71" s="3" t="inlineStr"/>
      <c r="AA71" s="3" t="inlineStr"/>
      <c r="AB71" s="3" t="inlineStr"/>
    </row>
    <row r="72" ht="40" customHeight="1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4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5">
        <f>IF(OR(COUNT(L72:O72)&lt;4,P72="",P72=0),"",SUM(L72:O72)/P72)</f>
        <v/>
      </c>
      <c r="W72" s="5">
        <f>IF(OR(P72="",P72=0,Q72=""),"",Q72/P72)</f>
        <v/>
      </c>
      <c r="X72" s="5">
        <f>IF(OR(Q72="",Q72=0,R72=""),"",R72/Q72)</f>
        <v/>
      </c>
      <c r="Y72" s="5">
        <f>IF(OR(S72="",S72=0,T72=""),"",T72/S72)</f>
        <v/>
      </c>
      <c r="Z72" s="2" t="inlineStr"/>
      <c r="AA72" s="2" t="inlineStr"/>
      <c r="AB72" s="2" t="inlineStr"/>
    </row>
    <row r="73" ht="40" customHeight="1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6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5">
        <f>IF(OR(COUNT(L73:O73)&lt;4,P73="",P73=0),"",SUM(L73:O73)/P73)</f>
        <v/>
      </c>
      <c r="W73" s="5">
        <f>IF(OR(P73="",P73=0,Q73=""),"",Q73/P73)</f>
        <v/>
      </c>
      <c r="X73" s="5">
        <f>IF(OR(Q73="",Q73=0,R73=""),"",R73/Q73)</f>
        <v/>
      </c>
      <c r="Y73" s="5">
        <f>IF(OR(S73="",S73=0,T73=""),"",T73/S73)</f>
        <v/>
      </c>
      <c r="Z73" s="3" t="inlineStr"/>
      <c r="AA73" s="3" t="inlineStr"/>
      <c r="AB73" s="3" t="inlineStr"/>
    </row>
    <row r="74" ht="40" customHeight="1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4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5">
        <f>IF(OR(COUNT(L74:O74)&lt;4,P74="",P74=0),"",SUM(L74:O74)/P74)</f>
        <v/>
      </c>
      <c r="W74" s="5">
        <f>IF(OR(P74="",P74=0,Q74=""),"",Q74/P74)</f>
        <v/>
      </c>
      <c r="X74" s="5">
        <f>IF(OR(Q74="",Q74=0,R74=""),"",R74/Q74)</f>
        <v/>
      </c>
      <c r="Y74" s="5">
        <f>IF(OR(S74="",S74=0,T74=""),"",T74/S74)</f>
        <v/>
      </c>
      <c r="Z74" s="2" t="inlineStr"/>
      <c r="AA74" s="2" t="inlineStr"/>
      <c r="AB74" s="2" t="inlineStr"/>
    </row>
    <row r="75" ht="40" customHeight="1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6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5">
        <f>IF(OR(COUNT(L75:O75)&lt;4,P75="",P75=0),"",SUM(L75:O75)/P75)</f>
        <v/>
      </c>
      <c r="W75" s="5">
        <f>IF(OR(P75="",P75=0,Q75=""),"",Q75/P75)</f>
        <v/>
      </c>
      <c r="X75" s="5">
        <f>IF(OR(Q75="",Q75=0,R75=""),"",R75/Q75)</f>
        <v/>
      </c>
      <c r="Y75" s="5">
        <f>IF(OR(S75="",S75=0,T75=""),"",T75/S75)</f>
        <v/>
      </c>
      <c r="Z75" s="3" t="inlineStr"/>
      <c r="AA75" s="3" t="inlineStr"/>
      <c r="AB75" s="3" t="inlineStr"/>
    </row>
    <row r="76" ht="40" customHeight="1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4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5">
        <f>IF(OR(COUNT(L76:O76)&lt;4,P76="",P76=0),"",SUM(L76:O76)/P76)</f>
        <v/>
      </c>
      <c r="W76" s="5">
        <f>IF(OR(P76="",P76=0,Q76=""),"",Q76/P76)</f>
        <v/>
      </c>
      <c r="X76" s="5">
        <f>IF(OR(Q76="",Q76=0,R76=""),"",R76/Q76)</f>
        <v/>
      </c>
      <c r="Y76" s="5">
        <f>IF(OR(S76="",S76=0,T76=""),"",T76/S76)</f>
        <v/>
      </c>
      <c r="Z76" s="2" t="inlineStr"/>
      <c r="AA76" s="2" t="inlineStr"/>
      <c r="AB76" s="2" t="inlineStr"/>
    </row>
    <row r="77" ht="40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6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5">
        <f>IF(OR(COUNT(L77:O77)&lt;4,P77="",P77=0),"",SUM(L77:O77)/P77)</f>
        <v/>
      </c>
      <c r="W77" s="5">
        <f>IF(OR(P77="",P77=0,Q77=""),"",Q77/P77)</f>
        <v/>
      </c>
      <c r="X77" s="5">
        <f>IF(OR(Q77="",Q77=0,R77=""),"",R77/Q77)</f>
        <v/>
      </c>
      <c r="Y77" s="5">
        <f>IF(OR(S77="",S77=0,T77=""),"",T77/S77)</f>
        <v/>
      </c>
      <c r="Z77" s="3" t="inlineStr"/>
      <c r="AA77" s="3" t="inlineStr"/>
      <c r="AB77" s="3" t="inlineStr"/>
    </row>
    <row r="78" ht="40" customHeight="1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4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5">
        <f>IF(OR(COUNT(L78:O78)&lt;4,P78="",P78=0),"",SUM(L78:O78)/P78)</f>
        <v/>
      </c>
      <c r="W78" s="5">
        <f>IF(OR(P78="",P78=0,Q78=""),"",Q78/P78)</f>
        <v/>
      </c>
      <c r="X78" s="5">
        <f>IF(OR(Q78="",Q78=0,R78=""),"",R78/Q78)</f>
        <v/>
      </c>
      <c r="Y78" s="5">
        <f>IF(OR(S78="",S78=0,T78=""),"",T78/S78)</f>
        <v/>
      </c>
      <c r="Z78" s="2" t="inlineStr"/>
      <c r="AA78" s="2" t="inlineStr"/>
      <c r="AB78" s="2" t="inlineStr"/>
    </row>
    <row r="79" ht="40" customHeight="1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6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5">
        <f>IF(OR(COUNT(L79:O79)&lt;4,P79="",P79=0),"",SUM(L79:O79)/P79)</f>
        <v/>
      </c>
      <c r="W79" s="5">
        <f>IF(OR(P79="",P79=0,Q79=""),"",Q79/P79)</f>
        <v/>
      </c>
      <c r="X79" s="5">
        <f>IF(OR(Q79="",Q79=0,R79=""),"",R79/Q79)</f>
        <v/>
      </c>
      <c r="Y79" s="5">
        <f>IF(OR(S79="",S79=0,T79=""),"",T79/S79)</f>
        <v/>
      </c>
      <c r="Z79" s="3" t="inlineStr"/>
      <c r="AA79" s="3" t="inlineStr"/>
      <c r="AB79" s="3" t="inlineStr"/>
    </row>
    <row r="80" ht="40" customHeight="1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4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5">
        <f>IF(OR(COUNT(L80:O80)&lt;4,P80="",P80=0),"",SUM(L80:O80)/P80)</f>
        <v/>
      </c>
      <c r="W80" s="5">
        <f>IF(OR(P80="",P80=0,Q80=""),"",Q80/P80)</f>
        <v/>
      </c>
      <c r="X80" s="5">
        <f>IF(OR(Q80="",Q80=0,R80=""),"",R80/Q80)</f>
        <v/>
      </c>
      <c r="Y80" s="5">
        <f>IF(OR(S80="",S80=0,T80=""),"",T80/S80)</f>
        <v/>
      </c>
      <c r="Z80" s="2" t="inlineStr"/>
      <c r="AA80" s="2" t="inlineStr"/>
      <c r="AB80" s="2" t="inlineStr"/>
    </row>
    <row r="81" ht="40" customHeight="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6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5">
        <f>IF(OR(COUNT(L81:O81)&lt;4,P81="",P81=0),"",SUM(L81:O81)/P81)</f>
        <v/>
      </c>
      <c r="W81" s="5">
        <f>IF(OR(P81="",P81=0,Q81=""),"",Q81/P81)</f>
        <v/>
      </c>
      <c r="X81" s="5">
        <f>IF(OR(Q81="",Q81=0,R81=""),"",R81/Q81)</f>
        <v/>
      </c>
      <c r="Y81" s="5">
        <f>IF(OR(S81="",S81=0,T81=""),"",T81/S81)</f>
        <v/>
      </c>
      <c r="Z81" s="3" t="inlineStr"/>
      <c r="AA81" s="3" t="inlineStr"/>
      <c r="AB81" s="3" t="inlineStr"/>
    </row>
    <row r="82" ht="40" customHeight="1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4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5">
        <f>IF(OR(COUNT(L82:O82)&lt;4,P82="",P82=0),"",SUM(L82:O82)/P82)</f>
        <v/>
      </c>
      <c r="W82" s="5">
        <f>IF(OR(P82="",P82=0,Q82=""),"",Q82/P82)</f>
        <v/>
      </c>
      <c r="X82" s="5">
        <f>IF(OR(Q82="",Q82=0,R82=""),"",R82/Q82)</f>
        <v/>
      </c>
      <c r="Y82" s="5">
        <f>IF(OR(S82="",S82=0,T82=""),"",T82/S82)</f>
        <v/>
      </c>
      <c r="Z82" s="2" t="inlineStr"/>
      <c r="AA82" s="2" t="inlineStr"/>
      <c r="AB82" s="2" t="inlineStr"/>
    </row>
    <row r="83" ht="40" customHeight="1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6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5">
        <f>IF(OR(COUNT(L83:O83)&lt;4,P83="",P83=0),"",SUM(L83:O83)/P83)</f>
        <v/>
      </c>
      <c r="W83" s="5">
        <f>IF(OR(P83="",P83=0,Q83=""),"",Q83/P83)</f>
        <v/>
      </c>
      <c r="X83" s="5">
        <f>IF(OR(Q83="",Q83=0,R83=""),"",R83/Q83)</f>
        <v/>
      </c>
      <c r="Y83" s="5">
        <f>IF(OR(S83="",S83=0,T83=""),"",T83/S83)</f>
        <v/>
      </c>
      <c r="Z83" s="3" t="inlineStr"/>
      <c r="AA83" s="3" t="inlineStr"/>
      <c r="AB83" s="3" t="inlineStr"/>
    </row>
    <row r="84" ht="40" customHeight="1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4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5">
        <f>IF(OR(COUNT(L84:O84)&lt;4,P84="",P84=0),"",SUM(L84:O84)/P84)</f>
        <v/>
      </c>
      <c r="W84" s="5">
        <f>IF(OR(P84="",P84=0,Q84=""),"",Q84/P84)</f>
        <v/>
      </c>
      <c r="X84" s="5">
        <f>IF(OR(Q84="",Q84=0,R84=""),"",R84/Q84)</f>
        <v/>
      </c>
      <c r="Y84" s="5">
        <f>IF(OR(S84="",S84=0,T84=""),"",T84/S84)</f>
        <v/>
      </c>
      <c r="Z84" s="2" t="inlineStr"/>
      <c r="AA84" s="2" t="inlineStr"/>
      <c r="AB84" s="2" t="inlineStr"/>
    </row>
    <row r="85" ht="40" customHeight="1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6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5">
        <f>IF(OR(COUNT(L85:O85)&lt;4,P85="",P85=0),"",SUM(L85:O85)/P85)</f>
        <v/>
      </c>
      <c r="W85" s="5">
        <f>IF(OR(P85="",P85=0,Q85=""),"",Q85/P85)</f>
        <v/>
      </c>
      <c r="X85" s="5">
        <f>IF(OR(Q85="",Q85=0,R85=""),"",R85/Q85)</f>
        <v/>
      </c>
      <c r="Y85" s="5">
        <f>IF(OR(S85="",S85=0,T85=""),"",T85/S85)</f>
        <v/>
      </c>
      <c r="Z85" s="3" t="inlineStr"/>
      <c r="AA85" s="3" t="inlineStr"/>
      <c r="AB85" s="3" t="inlineStr"/>
    </row>
    <row r="86" ht="40" customHeight="1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4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5">
        <f>IF(OR(COUNT(L86:O86)&lt;4,P86="",P86=0),"",SUM(L86:O86)/P86)</f>
        <v/>
      </c>
      <c r="W86" s="5">
        <f>IF(OR(P86="",P86=0,Q86=""),"",Q86/P86)</f>
        <v/>
      </c>
      <c r="X86" s="5">
        <f>IF(OR(Q86="",Q86=0,R86=""),"",R86/Q86)</f>
        <v/>
      </c>
      <c r="Y86" s="5">
        <f>IF(OR(S86="",S86=0,T86=""),"",T86/S86)</f>
        <v/>
      </c>
      <c r="Z86" s="2" t="inlineStr"/>
      <c r="AA86" s="2" t="inlineStr"/>
      <c r="AB86" s="2" t="inlineStr"/>
    </row>
    <row r="87" ht="40" customHeight="1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6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5">
        <f>IF(OR(COUNT(L87:O87)&lt;4,P87="",P87=0),"",SUM(L87:O87)/P87)</f>
        <v/>
      </c>
      <c r="W87" s="5">
        <f>IF(OR(P87="",P87=0,Q87=""),"",Q87/P87)</f>
        <v/>
      </c>
      <c r="X87" s="5">
        <f>IF(OR(Q87="",Q87=0,R87=""),"",R87/Q87)</f>
        <v/>
      </c>
      <c r="Y87" s="5">
        <f>IF(OR(S87="",S87=0,T87=""),"",T87/S87)</f>
        <v/>
      </c>
      <c r="Z87" s="3" t="inlineStr"/>
      <c r="AA87" s="3" t="inlineStr"/>
      <c r="AB87" s="3" t="inlineStr"/>
    </row>
    <row r="88" ht="40" customHeight="1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4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5">
        <f>IF(OR(COUNT(L88:O88)&lt;4,P88="",P88=0),"",SUM(L88:O88)/P88)</f>
        <v/>
      </c>
      <c r="W88" s="5">
        <f>IF(OR(P88="",P88=0,Q88=""),"",Q88/P88)</f>
        <v/>
      </c>
      <c r="X88" s="5">
        <f>IF(OR(Q88="",Q88=0,R88=""),"",R88/Q88)</f>
        <v/>
      </c>
      <c r="Y88" s="5">
        <f>IF(OR(S88="",S88=0,T88=""),"",T88/S88)</f>
        <v/>
      </c>
      <c r="Z88" s="2" t="inlineStr"/>
      <c r="AA88" s="2" t="inlineStr"/>
      <c r="AB88" s="2" t="inlineStr"/>
    </row>
    <row r="89" ht="40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6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5">
        <f>IF(OR(COUNT(L89:O89)&lt;4,P89="",P89=0),"",SUM(L89:O89)/P89)</f>
        <v/>
      </c>
      <c r="W89" s="5">
        <f>IF(OR(P89="",P89=0,Q89=""),"",Q89/P89)</f>
        <v/>
      </c>
      <c r="X89" s="5">
        <f>IF(OR(Q89="",Q89=0,R89=""),"",R89/Q89)</f>
        <v/>
      </c>
      <c r="Y89" s="5">
        <f>IF(OR(S89="",S89=0,T89=""),"",T89/S89)</f>
        <v/>
      </c>
      <c r="Z89" s="3" t="inlineStr"/>
      <c r="AA89" s="3" t="inlineStr"/>
      <c r="AB89" s="3" t="inlineStr"/>
    </row>
    <row r="90" ht="40" customHeight="1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4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5">
        <f>IF(OR(COUNT(L90:O90)&lt;4,P90="",P90=0),"",SUM(L90:O90)/P90)</f>
        <v/>
      </c>
      <c r="W90" s="5">
        <f>IF(OR(P90="",P90=0,Q90=""),"",Q90/P90)</f>
        <v/>
      </c>
      <c r="X90" s="5">
        <f>IF(OR(Q90="",Q90=0,R90=""),"",R90/Q90)</f>
        <v/>
      </c>
      <c r="Y90" s="5">
        <f>IF(OR(S90="",S90=0,T90=""),"",T90/S90)</f>
        <v/>
      </c>
      <c r="Z90" s="2" t="inlineStr"/>
      <c r="AA90" s="2" t="inlineStr"/>
      <c r="AB90" s="2" t="inlineStr"/>
    </row>
    <row r="91" ht="40" customHeight="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6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5">
        <f>IF(OR(COUNT(L91:O91)&lt;4,P91="",P91=0),"",SUM(L91:O91)/P91)</f>
        <v/>
      </c>
      <c r="W91" s="5">
        <f>IF(OR(P91="",P91=0,Q91=""),"",Q91/P91)</f>
        <v/>
      </c>
      <c r="X91" s="5">
        <f>IF(OR(Q91="",Q91=0,R91=""),"",R91/Q91)</f>
        <v/>
      </c>
      <c r="Y91" s="5">
        <f>IF(OR(S91="",S91=0,T91=""),"",T91/S91)</f>
        <v/>
      </c>
      <c r="Z91" s="3" t="inlineStr"/>
      <c r="AA91" s="3" t="inlineStr"/>
      <c r="AB91" s="3" t="inlineStr"/>
    </row>
    <row r="92" ht="40" customHeight="1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4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5">
        <f>IF(OR(COUNT(L92:O92)&lt;4,P92="",P92=0),"",SUM(L92:O92)/P92)</f>
        <v/>
      </c>
      <c r="W92" s="5">
        <f>IF(OR(P92="",P92=0,Q92=""),"",Q92/P92)</f>
        <v/>
      </c>
      <c r="X92" s="5">
        <f>IF(OR(Q92="",Q92=0,R92=""),"",R92/Q92)</f>
        <v/>
      </c>
      <c r="Y92" s="5">
        <f>IF(OR(S92="",S92=0,T92=""),"",T92/S92)</f>
        <v/>
      </c>
      <c r="Z92" s="2" t="inlineStr"/>
      <c r="AA92" s="2" t="inlineStr"/>
      <c r="AB92" s="2" t="inlineStr"/>
    </row>
    <row r="93" ht="40" customHeight="1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6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5">
        <f>IF(OR(COUNT(L93:O93)&lt;4,P93="",P93=0),"",SUM(L93:O93)/P93)</f>
        <v/>
      </c>
      <c r="W93" s="5">
        <f>IF(OR(P93="",P93=0,Q93=""),"",Q93/P93)</f>
        <v/>
      </c>
      <c r="X93" s="5">
        <f>IF(OR(Q93="",Q93=0,R93=""),"",R93/Q93)</f>
        <v/>
      </c>
      <c r="Y93" s="5">
        <f>IF(OR(S93="",S93=0,T93=""),"",T93/S93)</f>
        <v/>
      </c>
      <c r="Z93" s="3" t="inlineStr"/>
      <c r="AA93" s="3" t="inlineStr"/>
      <c r="AB93" s="3" t="inlineStr"/>
    </row>
    <row r="94" ht="40" customHeight="1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4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5">
        <f>IF(OR(COUNT(L94:O94)&lt;4,P94="",P94=0),"",SUM(L94:O94)/P94)</f>
        <v/>
      </c>
      <c r="W94" s="5">
        <f>IF(OR(P94="",P94=0,Q94=""),"",Q94/P94)</f>
        <v/>
      </c>
      <c r="X94" s="5">
        <f>IF(OR(Q94="",Q94=0,R94=""),"",R94/Q94)</f>
        <v/>
      </c>
      <c r="Y94" s="5">
        <f>IF(OR(S94="",S94=0,T94=""),"",T94/S94)</f>
        <v/>
      </c>
      <c r="Z94" s="2" t="inlineStr"/>
      <c r="AA94" s="2" t="inlineStr"/>
      <c r="AB94" s="2" t="inlineStr"/>
    </row>
    <row r="95" ht="40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6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5">
        <f>IF(OR(COUNT(L95:O95)&lt;4,P95="",P95=0),"",SUM(L95:O95)/P95)</f>
        <v/>
      </c>
      <c r="W95" s="5">
        <f>IF(OR(P95="",P95=0,Q95=""),"",Q95/P95)</f>
        <v/>
      </c>
      <c r="X95" s="5">
        <f>IF(OR(Q95="",Q95=0,R95=""),"",R95/Q95)</f>
        <v/>
      </c>
      <c r="Y95" s="5">
        <f>IF(OR(S95="",S95=0,T95=""),"",T95/S95)</f>
        <v/>
      </c>
      <c r="Z95" s="3" t="inlineStr"/>
      <c r="AA95" s="3" t="inlineStr"/>
      <c r="AB95" s="3" t="inlineStr"/>
    </row>
    <row r="96" ht="40" customHeight="1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4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5">
        <f>IF(OR(COUNT(L96:O96)&lt;4,P96="",P96=0),"",SUM(L96:O96)/P96)</f>
        <v/>
      </c>
      <c r="W96" s="5">
        <f>IF(OR(P96="",P96=0,Q96=""),"",Q96/P96)</f>
        <v/>
      </c>
      <c r="X96" s="5">
        <f>IF(OR(Q96="",Q96=0,R96=""),"",R96/Q96)</f>
        <v/>
      </c>
      <c r="Y96" s="5">
        <f>IF(OR(S96="",S96=0,T96=""),"",T96/S96)</f>
        <v/>
      </c>
      <c r="Z96" s="2" t="inlineStr"/>
      <c r="AA96" s="2" t="inlineStr"/>
      <c r="AB96" s="2" t="inlineStr"/>
    </row>
    <row r="97" ht="40" customHeight="1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6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5">
        <f>IF(OR(COUNT(L97:O97)&lt;4,P97="",P97=0),"",SUM(L97:O97)/P97)</f>
        <v/>
      </c>
      <c r="W97" s="5">
        <f>IF(OR(P97="",P97=0,Q97=""),"",Q97/P97)</f>
        <v/>
      </c>
      <c r="X97" s="5">
        <f>IF(OR(Q97="",Q97=0,R97=""),"",R97/Q97)</f>
        <v/>
      </c>
      <c r="Y97" s="5">
        <f>IF(OR(S97="",S97=0,T97=""),"",T97/S97)</f>
        <v/>
      </c>
      <c r="Z97" s="3" t="inlineStr"/>
      <c r="AA97" s="3" t="inlineStr"/>
      <c r="AB97" s="3" t="inlineStr"/>
    </row>
    <row r="98" ht="40" customHeight="1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4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5">
        <f>IF(OR(COUNT(L98:O98)&lt;4,P98="",P98=0),"",SUM(L98:O98)/P98)</f>
        <v/>
      </c>
      <c r="W98" s="5">
        <f>IF(OR(P98="",P98=0,Q98=""),"",Q98/P98)</f>
        <v/>
      </c>
      <c r="X98" s="5">
        <f>IF(OR(Q98="",Q98=0,R98=""),"",R98/Q98)</f>
        <v/>
      </c>
      <c r="Y98" s="5">
        <f>IF(OR(S98="",S98=0,T98=""),"",T98/S98)</f>
        <v/>
      </c>
      <c r="Z98" s="2" t="inlineStr"/>
      <c r="AA98" s="2" t="inlineStr"/>
      <c r="AB98" s="2" t="inlineStr"/>
    </row>
    <row r="99" ht="40" customHeight="1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6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5">
        <f>IF(OR(COUNT(L99:O99)&lt;4,P99="",P99=0),"",SUM(L99:O99)/P99)</f>
        <v/>
      </c>
      <c r="W99" s="5">
        <f>IF(OR(P99="",P99=0,Q99=""),"",Q99/P99)</f>
        <v/>
      </c>
      <c r="X99" s="5">
        <f>IF(OR(Q99="",Q99=0,R99=""),"",R99/Q99)</f>
        <v/>
      </c>
      <c r="Y99" s="5">
        <f>IF(OR(S99="",S99=0,T99=""),"",T99/S99)</f>
        <v/>
      </c>
      <c r="Z99" s="3" t="inlineStr"/>
      <c r="AA99" s="3" t="inlineStr"/>
      <c r="AB99" s="3" t="inlineStr"/>
    </row>
    <row r="100" ht="40" customHeight="1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4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5">
        <f>IF(OR(COUNT(L100:O100)&lt;4,P100="",P100=0),"",SUM(L100:O100)/P100)</f>
        <v/>
      </c>
      <c r="W100" s="5">
        <f>IF(OR(P100="",P100=0,Q100=""),"",Q100/P100)</f>
        <v/>
      </c>
      <c r="X100" s="5">
        <f>IF(OR(Q100="",Q100=0,R100=""),"",R100/Q100)</f>
        <v/>
      </c>
      <c r="Y100" s="5">
        <f>IF(OR(S100="",S100=0,T100=""),"",T100/S100)</f>
        <v/>
      </c>
      <c r="Z100" s="2" t="inlineStr"/>
      <c r="AA100" s="2" t="inlineStr"/>
      <c r="AB100" s="2" t="inlineStr"/>
    </row>
    <row r="101" ht="40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6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5">
        <f>IF(OR(COUNT(L101:O101)&lt;4,P101="",P101=0),"",SUM(L101:O101)/P101)</f>
        <v/>
      </c>
      <c r="W101" s="5">
        <f>IF(OR(P101="",P101=0,Q101=""),"",Q101/P101)</f>
        <v/>
      </c>
      <c r="X101" s="5">
        <f>IF(OR(Q101="",Q101=0,R101=""),"",R101/Q101)</f>
        <v/>
      </c>
      <c r="Y101" s="5">
        <f>IF(OR(S101="",S101=0,T101=""),"",T101/S101)</f>
        <v/>
      </c>
      <c r="Z101" s="3" t="inlineStr"/>
      <c r="AA101" s="3" t="inlineStr"/>
      <c r="AB101" s="3" t="inlineStr"/>
    </row>
  </sheetData>
  <autoFilter ref="A1:AB101"/>
  <dataValidations count="2">
    <dataValidation sqref="C2:C101" showDropDown="0" showInputMessage="0" showErrorMessage="1" allowBlank="1" errorTitle="请使用选项或按实际调整模板" error="请选择列表中的状态。" type="list">
      <formula1>"抖音,小红书,视频号,店总视频号"</formula1>
    </dataValidation>
    <dataValidation sqref="H2:H101" showDropDown="0" showInputMessage="0" showErrorMessage="1" allowBlank="1" errorTitle="请使用选项或按实际调整模板" error="请选择列表中的状态。" type="list">
      <formula1>"自然,付费,混合未区分"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34" customHeight="1">
      <c r="A1" s="1" t="inlineStr">
        <is>
          <t>CRM编号</t>
        </is>
      </c>
      <c r="B1" s="1" t="inlineStr">
        <is>
          <t>平台</t>
        </is>
      </c>
      <c r="C1" s="1" t="inlineStr">
        <is>
          <t>来源内容ID/归因</t>
        </is>
      </c>
      <c r="D1" s="1" t="inlineStr">
        <is>
          <t>需求摘要（无个人信息）</t>
        </is>
      </c>
      <c r="E1" s="1" t="inlineStr">
        <is>
          <t>服务范围已确认</t>
        </is>
      </c>
      <c r="F1" s="1" t="inlineStr">
        <is>
          <t>接手销售</t>
        </is>
      </c>
      <c r="G1" s="1" t="inlineStr">
        <is>
          <t>交接日期</t>
        </is>
      </c>
      <c r="H1" s="1" t="inlineStr">
        <is>
          <t>预约状态</t>
        </is>
      </c>
      <c r="I1" s="1" t="inlineStr">
        <is>
          <t>预约日期</t>
        </is>
      </c>
      <c r="J1" s="1" t="inlineStr">
        <is>
          <t>是否已到期</t>
        </is>
      </c>
      <c r="K1" s="1" t="inlineStr">
        <is>
          <t>实际到店状态</t>
        </is>
      </c>
      <c r="L1" s="1" t="inlineStr">
        <is>
          <t>下次跟进</t>
        </is>
      </c>
      <c r="M1" s="1" t="inlineStr">
        <is>
          <t>截至日期</t>
        </is>
      </c>
    </row>
    <row r="2" ht="4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 ht="4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 ht="4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 ht="4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 ht="4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 ht="4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 ht="4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 ht="4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 ht="40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 ht="4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 ht="40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 ht="4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 ht="40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 ht="4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 ht="40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 ht="4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 ht="40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 ht="4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</sheetData>
  <autoFilter ref="A1:M3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</cols>
  <sheetData>
    <row r="1" ht="34" customHeight="1">
      <c r="A1" s="1" t="inlineStr">
        <is>
          <t>平台</t>
        </is>
      </c>
      <c r="B1" s="1" t="inlineStr">
        <is>
          <t>账号/认证状态</t>
        </is>
      </c>
      <c r="C1" s="1" t="inlineStr">
        <is>
          <t>原视频URL或定位ID</t>
        </is>
      </c>
      <c r="D1" s="1" t="inlineStr">
        <is>
          <t>标题</t>
        </is>
      </c>
      <c r="E1" s="1" t="inlineStr">
        <is>
          <t>发布时间</t>
        </is>
      </c>
      <c r="F1" s="1" t="inlineStr">
        <is>
          <t>采集时间</t>
        </is>
      </c>
      <c r="G1" s="1" t="inlineStr">
        <is>
          <t>播放（可见才填）</t>
        </is>
      </c>
      <c r="H1" s="1" t="inlineStr">
        <is>
          <t>点赞</t>
        </is>
      </c>
      <c r="I1" s="1" t="inlineStr">
        <is>
          <t>评论</t>
        </is>
      </c>
      <c r="J1" s="1" t="inlineStr">
        <is>
          <t>收藏</t>
        </is>
      </c>
      <c r="K1" s="1" t="inlineStr">
        <is>
          <t>不可见项</t>
        </is>
      </c>
      <c r="L1" s="1" t="inlineStr">
        <is>
          <t>自然/广告状态</t>
        </is>
      </c>
      <c r="M1" s="1" t="inlineStr">
        <is>
          <t>前三秒</t>
        </is>
      </c>
      <c r="N1" s="1" t="inlineStr">
        <is>
          <t>证据镜头</t>
        </is>
      </c>
      <c r="O1" s="1" t="inlineStr">
        <is>
          <t>结构与结尾</t>
        </is>
      </c>
      <c r="P1" s="1" t="inlineStr">
        <is>
          <t>本店改写</t>
        </is>
      </c>
      <c r="Q1" s="1" t="inlineStr">
        <is>
          <t>是否近30日</t>
        </is>
      </c>
      <c r="R1" s="1" t="inlineStr">
        <is>
          <t>核验状态</t>
        </is>
      </c>
    </row>
    <row r="2" ht="4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 ht="4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 ht="4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 ht="4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 ht="4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 ht="4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 ht="4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 ht="4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 ht="40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 ht="4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 ht="40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 ht="4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 ht="40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 ht="4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 ht="40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 ht="4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 ht="40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 ht="4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 ht="40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 ht="40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 ht="40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 ht="40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 ht="40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 ht="40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 ht="40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 ht="40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 ht="40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 ht="40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</sheetData>
  <autoFilter ref="A1:R41"/>
  <dataValidations count="1">
    <dataValidation sqref="R2:R100" showDropDown="0" showInputMessage="0" showErrorMessage="1" allowBlank="1" errorTitle="请使用选项或按实际调整模板" error="请选择列表中的状态。" type="list">
      <formula1>"待检索,待核验,已核验,无法访问"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8" customWidth="1" min="3" max="3"/>
    <col width="65" customWidth="1" min="4" max="4"/>
    <col width="38" customWidth="1" min="5" max="5"/>
    <col width="30" customWidth="1" min="6" max="6"/>
  </cols>
  <sheetData>
    <row r="1" ht="34" customHeight="1">
      <c r="A1" s="1" t="inlineStr">
        <is>
          <t>平台</t>
        </is>
      </c>
      <c r="B1" s="1" t="inlineStr">
        <is>
          <t>关键词</t>
        </is>
      </c>
      <c r="C1" s="1" t="inlineStr">
        <is>
          <t>学习重点</t>
        </is>
      </c>
      <c r="D1" s="1" t="inlineStr">
        <is>
          <t>URL或操作</t>
        </is>
      </c>
      <c r="E1" s="1" t="inlineStr">
        <is>
          <t>证据状态</t>
        </is>
      </c>
      <c r="F1" s="1" t="inlineStr">
        <is>
          <t>近期窗口</t>
        </is>
      </c>
    </row>
    <row r="2" ht="40" customHeight="1">
      <c r="A2" s="2" t="inlineStr">
        <is>
          <t>抖音</t>
        </is>
      </c>
      <c r="B2" s="2" t="inlineStr">
        <is>
          <t>吉利银河 佛山</t>
        </is>
      </c>
      <c r="C2" s="2" t="inlineStr">
        <is>
          <t>门店与本地内容表达</t>
        </is>
      </c>
      <c r="D2" s="7" t="inlineStr">
        <is>
          <t>https://www.douyin.com/search/%E5%90%89%E5%88%A9%E9%93%B6%E6%B2%B3%20%E4%BD%9B%E5%B1%B1</t>
        </is>
      </c>
      <c r="E2" s="2" t="inlineStr">
        <is>
          <t>入口未验证；不是视频案例</t>
        </is>
      </c>
      <c r="F2" s="2" t="inlineStr">
        <is>
          <t>2026-09-09至2026-10-08</t>
        </is>
      </c>
    </row>
    <row r="3" ht="40" customHeight="1">
      <c r="A3" s="3" t="inlineStr">
        <is>
          <t>小红书</t>
        </is>
      </c>
      <c r="B3" s="3" t="inlineStr">
        <is>
          <t>吉利银河 佛山</t>
        </is>
      </c>
      <c r="C3" s="3" t="inlineStr">
        <is>
          <t>门店与本地内容表达</t>
        </is>
      </c>
      <c r="D3" s="8" t="inlineStr">
        <is>
          <t>https://www.xiaohongshu.com/search_result?keyword=%E5%90%89%E5%88%A9%E9%93%B6%E6%B2%B3%20%E4%BD%9B%E5%B1%B1</t>
        </is>
      </c>
      <c r="E3" s="3" t="inlineStr">
        <is>
          <t>入口未验证；不是视频案例</t>
        </is>
      </c>
      <c r="F3" s="3" t="inlineStr">
        <is>
          <t>2026-09-09至2026-10-08</t>
        </is>
      </c>
    </row>
    <row r="4" ht="40" customHeight="1">
      <c r="A4" s="2" t="inlineStr">
        <is>
          <t>B站（研究）</t>
        </is>
      </c>
      <c r="B4" s="2" t="inlineStr">
        <is>
          <t>吉利银河 佛山</t>
        </is>
      </c>
      <c r="C4" s="2" t="inlineStr">
        <is>
          <t>门店与本地内容表达</t>
        </is>
      </c>
      <c r="D4" s="7" t="inlineStr">
        <is>
          <t>https://search.bilibili.com/all?keyword=%E5%90%89%E5%88%A9%E9%93%B6%E6%B2%B3%20%E4%BD%9B%E5%B1%B1</t>
        </is>
      </c>
      <c r="E4" s="2" t="inlineStr">
        <is>
          <t>入口未验证；不是视频案例</t>
        </is>
      </c>
      <c r="F4" s="2" t="inlineStr">
        <is>
          <t>2026-09-09至2026-10-08</t>
        </is>
      </c>
    </row>
    <row r="5" ht="40" customHeight="1">
      <c r="A5" s="3" t="inlineStr">
        <is>
          <t>视频号</t>
        </is>
      </c>
      <c r="B5" s="3" t="inlineStr">
        <is>
          <t>吉利银河 佛山</t>
        </is>
      </c>
      <c r="C5" s="3" t="inlineStr">
        <is>
          <t>门店与本地内容表达</t>
        </is>
      </c>
      <c r="D5" s="3" t="inlineStr">
        <is>
          <t>微信内搜索视频号；核验账号、原视频与发布时间</t>
        </is>
      </c>
      <c r="E5" s="3" t="inlineStr">
        <is>
          <t>需平台内检索</t>
        </is>
      </c>
      <c r="F5" s="3" t="inlineStr">
        <is>
          <t>2026-09-09至2026-10-08</t>
        </is>
      </c>
    </row>
    <row r="6" ht="40" customHeight="1">
      <c r="A6" s="2" t="inlineStr">
        <is>
          <t>抖音</t>
        </is>
      </c>
      <c r="B6" s="2" t="inlineStr">
        <is>
          <t>新能源汽车 没有家充</t>
        </is>
      </c>
      <c r="C6" s="2" t="inlineStr">
        <is>
          <t>补能条件与首购疑问</t>
        </is>
      </c>
      <c r="D6" s="7" t="inlineStr">
        <is>
          <t>https://www.douyin.com/search/%E6%96%B0%E8%83%BD%E6%BA%90%E6%B1%BD%E8%BD%A6%20%E6%B2%A1%E6%9C%89%E5%AE%B6%E5%85%85</t>
        </is>
      </c>
      <c r="E6" s="2" t="inlineStr">
        <is>
          <t>入口未验证；不是视频案例</t>
        </is>
      </c>
      <c r="F6" s="2" t="inlineStr">
        <is>
          <t>2026-09-09至2026-10-08</t>
        </is>
      </c>
    </row>
    <row r="7" ht="40" customHeight="1">
      <c r="A7" s="3" t="inlineStr">
        <is>
          <t>小红书</t>
        </is>
      </c>
      <c r="B7" s="3" t="inlineStr">
        <is>
          <t>新能源汽车 没有家充</t>
        </is>
      </c>
      <c r="C7" s="3" t="inlineStr">
        <is>
          <t>补能条件与首购疑问</t>
        </is>
      </c>
      <c r="D7" s="8" t="inlineStr">
        <is>
          <t>https://www.xiaohongshu.com/search_result?keyword=%E6%96%B0%E8%83%BD%E6%BA%90%E6%B1%BD%E8%BD%A6%20%E6%B2%A1%E6%9C%89%E5%AE%B6%E5%85%85</t>
        </is>
      </c>
      <c r="E7" s="3" t="inlineStr">
        <is>
          <t>入口未验证；不是视频案例</t>
        </is>
      </c>
      <c r="F7" s="3" t="inlineStr">
        <is>
          <t>2026-09-09至2026-10-08</t>
        </is>
      </c>
    </row>
    <row r="8" ht="40" customHeight="1">
      <c r="A8" s="2" t="inlineStr">
        <is>
          <t>B站（研究）</t>
        </is>
      </c>
      <c r="B8" s="2" t="inlineStr">
        <is>
          <t>新能源汽车 没有家充</t>
        </is>
      </c>
      <c r="C8" s="2" t="inlineStr">
        <is>
          <t>补能条件与首购疑问</t>
        </is>
      </c>
      <c r="D8" s="7" t="inlineStr">
        <is>
          <t>https://search.bilibili.com/all?keyword=%E6%96%B0%E8%83%BD%E6%BA%90%E6%B1%BD%E8%BD%A6%20%E6%B2%A1%E6%9C%89%E5%AE%B6%E5%85%85</t>
        </is>
      </c>
      <c r="E8" s="2" t="inlineStr">
        <is>
          <t>入口未验证；不是视频案例</t>
        </is>
      </c>
      <c r="F8" s="2" t="inlineStr">
        <is>
          <t>2026-09-09至2026-10-08</t>
        </is>
      </c>
    </row>
    <row r="9" ht="40" customHeight="1">
      <c r="A9" s="3" t="inlineStr">
        <is>
          <t>视频号</t>
        </is>
      </c>
      <c r="B9" s="3" t="inlineStr">
        <is>
          <t>新能源汽车 没有家充</t>
        </is>
      </c>
      <c r="C9" s="3" t="inlineStr">
        <is>
          <t>补能条件与首购疑问</t>
        </is>
      </c>
      <c r="D9" s="3" t="inlineStr">
        <is>
          <t>微信内搜索视频号；核验账号、原视频与发布时间</t>
        </is>
      </c>
      <c r="E9" s="3" t="inlineStr">
        <is>
          <t>需平台内检索</t>
        </is>
      </c>
      <c r="F9" s="3" t="inlineStr">
        <is>
          <t>2026-09-09至2026-10-08</t>
        </is>
      </c>
    </row>
    <row r="10" ht="40" customHeight="1">
      <c r="A10" s="2" t="inlineStr">
        <is>
          <t>抖音</t>
        </is>
      </c>
      <c r="B10" s="2" t="inlineStr">
        <is>
          <t>汽车 后备厢 婴儿车</t>
        </is>
      </c>
      <c r="C10" s="2" t="inlineStr">
        <is>
          <t>一镜实测和家庭装载</t>
        </is>
      </c>
      <c r="D10" s="7" t="inlineStr">
        <is>
          <t>https://www.douyin.com/search/%E6%B1%BD%E8%BD%A6%20%E5%90%8E%E5%A4%87%E5%8E%A2%20%E5%A9%B4%E5%84%BF%E8%BD%A6</t>
        </is>
      </c>
      <c r="E10" s="2" t="inlineStr">
        <is>
          <t>入口未验证；不是视频案例</t>
        </is>
      </c>
      <c r="F10" s="2" t="inlineStr">
        <is>
          <t>2026-09-09至2026-10-08</t>
        </is>
      </c>
    </row>
    <row r="11" ht="40" customHeight="1">
      <c r="A11" s="3" t="inlineStr">
        <is>
          <t>小红书</t>
        </is>
      </c>
      <c r="B11" s="3" t="inlineStr">
        <is>
          <t>汽车 后备厢 婴儿车</t>
        </is>
      </c>
      <c r="C11" s="3" t="inlineStr">
        <is>
          <t>一镜实测和家庭装载</t>
        </is>
      </c>
      <c r="D11" s="8" t="inlineStr">
        <is>
          <t>https://www.xiaohongshu.com/search_result?keyword=%E6%B1%BD%E8%BD%A6%20%E5%90%8E%E5%A4%87%E5%8E%A2%20%E5%A9%B4%E5%84%BF%E8%BD%A6</t>
        </is>
      </c>
      <c r="E11" s="3" t="inlineStr">
        <is>
          <t>入口未验证；不是视频案例</t>
        </is>
      </c>
      <c r="F11" s="3" t="inlineStr">
        <is>
          <t>2026-09-09至2026-10-08</t>
        </is>
      </c>
    </row>
    <row r="12" ht="40" customHeight="1">
      <c r="A12" s="2" t="inlineStr">
        <is>
          <t>B站（研究）</t>
        </is>
      </c>
      <c r="B12" s="2" t="inlineStr">
        <is>
          <t>汽车 后备厢 婴儿车</t>
        </is>
      </c>
      <c r="C12" s="2" t="inlineStr">
        <is>
          <t>一镜实测和家庭装载</t>
        </is>
      </c>
      <c r="D12" s="7" t="inlineStr">
        <is>
          <t>https://search.bilibili.com/all?keyword=%E6%B1%BD%E8%BD%A6%20%E5%90%8E%E5%A4%87%E5%8E%A2%20%E5%A9%B4%E5%84%BF%E8%BD%A6</t>
        </is>
      </c>
      <c r="E12" s="2" t="inlineStr">
        <is>
          <t>入口未验证；不是视频案例</t>
        </is>
      </c>
      <c r="F12" s="2" t="inlineStr">
        <is>
          <t>2026-09-09至2026-10-08</t>
        </is>
      </c>
    </row>
    <row r="13" ht="40" customHeight="1">
      <c r="A13" s="3" t="inlineStr">
        <is>
          <t>视频号</t>
        </is>
      </c>
      <c r="B13" s="3" t="inlineStr">
        <is>
          <t>汽车 后备厢 婴儿车</t>
        </is>
      </c>
      <c r="C13" s="3" t="inlineStr">
        <is>
          <t>一镜实测和家庭装载</t>
        </is>
      </c>
      <c r="D13" s="3" t="inlineStr">
        <is>
          <t>微信内搜索视频号；核验账号、原视频与发布时间</t>
        </is>
      </c>
      <c r="E13" s="3" t="inlineStr">
        <is>
          <t>需平台内检索</t>
        </is>
      </c>
      <c r="F13" s="3" t="inlineStr">
        <is>
          <t>2026-09-09至2026-10-08</t>
        </is>
      </c>
    </row>
    <row r="14" ht="40" customHeight="1">
      <c r="A14" s="2" t="inlineStr">
        <is>
          <t>抖音</t>
        </is>
      </c>
      <c r="B14" s="2" t="inlineStr">
        <is>
          <t>新能源汽车 通勤成本</t>
        </is>
      </c>
      <c r="C14" s="2" t="inlineStr">
        <is>
          <t>假设、算式与费用边界</t>
        </is>
      </c>
      <c r="D14" s="7" t="inlineStr">
        <is>
          <t>https://www.douyin.com/search/%E6%96%B0%E8%83%BD%E6%BA%90%E6%B1%BD%E8%BD%A6%20%E9%80%9A%E5%8B%A4%E6%88%90%E6%9C%AC</t>
        </is>
      </c>
      <c r="E14" s="2" t="inlineStr">
        <is>
          <t>入口未验证；不是视频案例</t>
        </is>
      </c>
      <c r="F14" s="2" t="inlineStr">
        <is>
          <t>2026-09-09至2026-10-08</t>
        </is>
      </c>
    </row>
    <row r="15" ht="40" customHeight="1">
      <c r="A15" s="3" t="inlineStr">
        <is>
          <t>小红书</t>
        </is>
      </c>
      <c r="B15" s="3" t="inlineStr">
        <is>
          <t>新能源汽车 通勤成本</t>
        </is>
      </c>
      <c r="C15" s="3" t="inlineStr">
        <is>
          <t>假设、算式与费用边界</t>
        </is>
      </c>
      <c r="D15" s="8" t="inlineStr">
        <is>
          <t>https://www.xiaohongshu.com/search_result?keyword=%E6%96%B0%E8%83%BD%E6%BA%90%E6%B1%BD%E8%BD%A6%20%E9%80%9A%E5%8B%A4%E6%88%90%E6%9C%AC</t>
        </is>
      </c>
      <c r="E15" s="3" t="inlineStr">
        <is>
          <t>入口未验证；不是视频案例</t>
        </is>
      </c>
      <c r="F15" s="3" t="inlineStr">
        <is>
          <t>2026-09-09至2026-10-08</t>
        </is>
      </c>
    </row>
    <row r="16" ht="40" customHeight="1">
      <c r="A16" s="2" t="inlineStr">
        <is>
          <t>B站（研究）</t>
        </is>
      </c>
      <c r="B16" s="2" t="inlineStr">
        <is>
          <t>新能源汽车 通勤成本</t>
        </is>
      </c>
      <c r="C16" s="2" t="inlineStr">
        <is>
          <t>假设、算式与费用边界</t>
        </is>
      </c>
      <c r="D16" s="7" t="inlineStr">
        <is>
          <t>https://search.bilibili.com/all?keyword=%E6%96%B0%E8%83%BD%E6%BA%90%E6%B1%BD%E8%BD%A6%20%E9%80%9A%E5%8B%A4%E6%88%90%E6%9C%AC</t>
        </is>
      </c>
      <c r="E16" s="2" t="inlineStr">
        <is>
          <t>入口未验证；不是视频案例</t>
        </is>
      </c>
      <c r="F16" s="2" t="inlineStr">
        <is>
          <t>2026-09-09至2026-10-08</t>
        </is>
      </c>
    </row>
    <row r="17" ht="40" customHeight="1">
      <c r="A17" s="3" t="inlineStr">
        <is>
          <t>视频号</t>
        </is>
      </c>
      <c r="B17" s="3" t="inlineStr">
        <is>
          <t>新能源汽车 通勤成本</t>
        </is>
      </c>
      <c r="C17" s="3" t="inlineStr">
        <is>
          <t>假设、算式与费用边界</t>
        </is>
      </c>
      <c r="D17" s="3" t="inlineStr">
        <is>
          <t>微信内搜索视频号；核验账号、原视频与发布时间</t>
        </is>
      </c>
      <c r="E17" s="3" t="inlineStr">
        <is>
          <t>需平台内检索</t>
        </is>
      </c>
      <c r="F17" s="3" t="inlineStr">
        <is>
          <t>2026-09-09至2026-10-08</t>
        </is>
      </c>
    </row>
    <row r="18" ht="40" customHeight="1">
      <c r="A18" s="2" t="inlineStr">
        <is>
          <t>抖音</t>
        </is>
      </c>
      <c r="B18" s="2" t="inlineStr">
        <is>
          <t>汽车 首次试驾</t>
        </is>
      </c>
      <c r="C18" s="2" t="inlineStr">
        <is>
          <t>流程和新手问题</t>
        </is>
      </c>
      <c r="D18" s="7" t="inlineStr">
        <is>
          <t>https://www.douyin.com/search/%E6%B1%BD%E8%BD%A6%20%E9%A6%96%E6%AC%A1%E8%AF%95%E9%A9%BE</t>
        </is>
      </c>
      <c r="E18" s="2" t="inlineStr">
        <is>
          <t>入口未验证；不是视频案例</t>
        </is>
      </c>
      <c r="F18" s="2" t="inlineStr">
        <is>
          <t>2026-09-09至2026-10-08</t>
        </is>
      </c>
    </row>
    <row r="19" ht="40" customHeight="1">
      <c r="A19" s="3" t="inlineStr">
        <is>
          <t>小红书</t>
        </is>
      </c>
      <c r="B19" s="3" t="inlineStr">
        <is>
          <t>汽车 首次试驾</t>
        </is>
      </c>
      <c r="C19" s="3" t="inlineStr">
        <is>
          <t>流程和新手问题</t>
        </is>
      </c>
      <c r="D19" s="8" t="inlineStr">
        <is>
          <t>https://www.xiaohongshu.com/search_result?keyword=%E6%B1%BD%E8%BD%A6%20%E9%A6%96%E6%AC%A1%E8%AF%95%E9%A9%BE</t>
        </is>
      </c>
      <c r="E19" s="3" t="inlineStr">
        <is>
          <t>入口未验证；不是视频案例</t>
        </is>
      </c>
      <c r="F19" s="3" t="inlineStr">
        <is>
          <t>2026-09-09至2026-10-08</t>
        </is>
      </c>
    </row>
    <row r="20" ht="40" customHeight="1">
      <c r="A20" s="2" t="inlineStr">
        <is>
          <t>B站（研究）</t>
        </is>
      </c>
      <c r="B20" s="2" t="inlineStr">
        <is>
          <t>汽车 首次试驾</t>
        </is>
      </c>
      <c r="C20" s="2" t="inlineStr">
        <is>
          <t>流程和新手问题</t>
        </is>
      </c>
      <c r="D20" s="7" t="inlineStr">
        <is>
          <t>https://search.bilibili.com/all?keyword=%E6%B1%BD%E8%BD%A6%20%E9%A6%96%E6%AC%A1%E8%AF%95%E9%A9%BE</t>
        </is>
      </c>
      <c r="E20" s="2" t="inlineStr">
        <is>
          <t>入口未验证；不是视频案例</t>
        </is>
      </c>
      <c r="F20" s="2" t="inlineStr">
        <is>
          <t>2026-09-09至2026-10-08</t>
        </is>
      </c>
    </row>
    <row r="21" ht="40" customHeight="1">
      <c r="A21" s="3" t="inlineStr">
        <is>
          <t>视频号</t>
        </is>
      </c>
      <c r="B21" s="3" t="inlineStr">
        <is>
          <t>汽车 首次试驾</t>
        </is>
      </c>
      <c r="C21" s="3" t="inlineStr">
        <is>
          <t>流程和新手问题</t>
        </is>
      </c>
      <c r="D21" s="3" t="inlineStr">
        <is>
          <t>微信内搜索视频号；核验账号、原视频与发布时间</t>
        </is>
      </c>
      <c r="E21" s="3" t="inlineStr">
        <is>
          <t>需平台内检索</t>
        </is>
      </c>
      <c r="F21" s="3" t="inlineStr">
        <is>
          <t>2026-09-09至2026-10-08</t>
        </is>
      </c>
    </row>
    <row r="22" ht="40" customHeight="1">
      <c r="A22" s="2" t="inlineStr">
        <is>
          <t>抖音</t>
        </is>
      </c>
      <c r="B22" s="2" t="inlineStr">
        <is>
          <t>汽车 版本区别</t>
        </is>
      </c>
      <c r="C22" s="2" t="inlineStr">
        <is>
          <t>配置解释与资料证据</t>
        </is>
      </c>
      <c r="D22" s="7" t="inlineStr">
        <is>
          <t>https://www.douyin.com/search/%E6%B1%BD%E8%BD%A6%20%E7%89%88%E6%9C%AC%E5%8C%BA%E5%88%AB</t>
        </is>
      </c>
      <c r="E22" s="2" t="inlineStr">
        <is>
          <t>入口未验证；不是视频案例</t>
        </is>
      </c>
      <c r="F22" s="2" t="inlineStr">
        <is>
          <t>2026-09-09至2026-10-08</t>
        </is>
      </c>
    </row>
    <row r="23" ht="40" customHeight="1">
      <c r="A23" s="3" t="inlineStr">
        <is>
          <t>小红书</t>
        </is>
      </c>
      <c r="B23" s="3" t="inlineStr">
        <is>
          <t>汽车 版本区别</t>
        </is>
      </c>
      <c r="C23" s="3" t="inlineStr">
        <is>
          <t>配置解释与资料证据</t>
        </is>
      </c>
      <c r="D23" s="8" t="inlineStr">
        <is>
          <t>https://www.xiaohongshu.com/search_result?keyword=%E6%B1%BD%E8%BD%A6%20%E7%89%88%E6%9C%AC%E5%8C%BA%E5%88%AB</t>
        </is>
      </c>
      <c r="E23" s="3" t="inlineStr">
        <is>
          <t>入口未验证；不是视频案例</t>
        </is>
      </c>
      <c r="F23" s="3" t="inlineStr">
        <is>
          <t>2026-09-09至2026-10-08</t>
        </is>
      </c>
    </row>
    <row r="24" ht="40" customHeight="1">
      <c r="A24" s="2" t="inlineStr">
        <is>
          <t>B站（研究）</t>
        </is>
      </c>
      <c r="B24" s="2" t="inlineStr">
        <is>
          <t>汽车 版本区别</t>
        </is>
      </c>
      <c r="C24" s="2" t="inlineStr">
        <is>
          <t>配置解释与资料证据</t>
        </is>
      </c>
      <c r="D24" s="7" t="inlineStr">
        <is>
          <t>https://search.bilibili.com/all?keyword=%E6%B1%BD%E8%BD%A6%20%E7%89%88%E6%9C%AC%E5%8C%BA%E5%88%AB</t>
        </is>
      </c>
      <c r="E24" s="2" t="inlineStr">
        <is>
          <t>入口未验证；不是视频案例</t>
        </is>
      </c>
      <c r="F24" s="2" t="inlineStr">
        <is>
          <t>2026-09-09至2026-10-08</t>
        </is>
      </c>
    </row>
    <row r="25" ht="40" customHeight="1">
      <c r="A25" s="3" t="inlineStr">
        <is>
          <t>视频号</t>
        </is>
      </c>
      <c r="B25" s="3" t="inlineStr">
        <is>
          <t>汽车 版本区别</t>
        </is>
      </c>
      <c r="C25" s="3" t="inlineStr">
        <is>
          <t>配置解释与资料证据</t>
        </is>
      </c>
      <c r="D25" s="3" t="inlineStr">
        <is>
          <t>微信内搜索视频号；核验账号、原视频与发布时间</t>
        </is>
      </c>
      <c r="E25" s="3" t="inlineStr">
        <is>
          <t>需平台内检索</t>
        </is>
      </c>
      <c r="F25" s="3" t="inlineStr">
        <is>
          <t>2026-09-09至2026-10-08</t>
        </is>
      </c>
    </row>
    <row r="26" ht="40" customHeight="1">
      <c r="A26" s="2" t="inlineStr">
        <is>
          <t>抖音</t>
        </is>
      </c>
      <c r="B26" s="2" t="inlineStr">
        <is>
          <t>汽车 车机 教程</t>
        </is>
      </c>
      <c r="C26" s="2" t="inlineStr">
        <is>
          <t>步骤镜头和屏幕结果</t>
        </is>
      </c>
      <c r="D26" s="7" t="inlineStr">
        <is>
          <t>https://www.douyin.com/search/%E6%B1%BD%E8%BD%A6%20%E8%BD%A6%E6%9C%BA%20%E6%95%99%E7%A8%8B</t>
        </is>
      </c>
      <c r="E26" s="2" t="inlineStr">
        <is>
          <t>入口未验证；不是视频案例</t>
        </is>
      </c>
      <c r="F26" s="2" t="inlineStr">
        <is>
          <t>2026-09-09至2026-10-08</t>
        </is>
      </c>
    </row>
    <row r="27" ht="40" customHeight="1">
      <c r="A27" s="3" t="inlineStr">
        <is>
          <t>小红书</t>
        </is>
      </c>
      <c r="B27" s="3" t="inlineStr">
        <is>
          <t>汽车 车机 教程</t>
        </is>
      </c>
      <c r="C27" s="3" t="inlineStr">
        <is>
          <t>步骤镜头和屏幕结果</t>
        </is>
      </c>
      <c r="D27" s="8" t="inlineStr">
        <is>
          <t>https://www.xiaohongshu.com/search_result?keyword=%E6%B1%BD%E8%BD%A6%20%E8%BD%A6%E6%9C%BA%20%E6%95%99%E7%A8%8B</t>
        </is>
      </c>
      <c r="E27" s="3" t="inlineStr">
        <is>
          <t>入口未验证；不是视频案例</t>
        </is>
      </c>
      <c r="F27" s="3" t="inlineStr">
        <is>
          <t>2026-09-09至2026-10-08</t>
        </is>
      </c>
    </row>
    <row r="28" ht="40" customHeight="1">
      <c r="A28" s="2" t="inlineStr">
        <is>
          <t>B站（研究）</t>
        </is>
      </c>
      <c r="B28" s="2" t="inlineStr">
        <is>
          <t>汽车 车机 教程</t>
        </is>
      </c>
      <c r="C28" s="2" t="inlineStr">
        <is>
          <t>步骤镜头和屏幕结果</t>
        </is>
      </c>
      <c r="D28" s="7" t="inlineStr">
        <is>
          <t>https://search.bilibili.com/all?keyword=%E6%B1%BD%E8%BD%A6%20%E8%BD%A6%E6%9C%BA%20%E6%95%99%E7%A8%8B</t>
        </is>
      </c>
      <c r="E28" s="2" t="inlineStr">
        <is>
          <t>入口未验证；不是视频案例</t>
        </is>
      </c>
      <c r="F28" s="2" t="inlineStr">
        <is>
          <t>2026-09-09至2026-10-08</t>
        </is>
      </c>
    </row>
    <row r="29" ht="40" customHeight="1">
      <c r="A29" s="3" t="inlineStr">
        <is>
          <t>视频号</t>
        </is>
      </c>
      <c r="B29" s="3" t="inlineStr">
        <is>
          <t>汽车 车机 教程</t>
        </is>
      </c>
      <c r="C29" s="3" t="inlineStr">
        <is>
          <t>步骤镜头和屏幕结果</t>
        </is>
      </c>
      <c r="D29" s="3" t="inlineStr">
        <is>
          <t>微信内搜索视频号；核验账号、原视频与发布时间</t>
        </is>
      </c>
      <c r="E29" s="3" t="inlineStr">
        <is>
          <t>需平台内检索</t>
        </is>
      </c>
      <c r="F29" s="3" t="inlineStr">
        <is>
          <t>2026-09-09至2026-10-08</t>
        </is>
      </c>
    </row>
    <row r="30" ht="40" customHeight="1">
      <c r="A30" s="2" t="inlineStr">
        <is>
          <t>抖音</t>
        </is>
      </c>
      <c r="B30" s="2" t="inlineStr">
        <is>
          <t>汽车 店总</t>
        </is>
      </c>
      <c r="C30" s="2" t="inlineStr">
        <is>
          <t>负责人表达与栏目</t>
        </is>
      </c>
      <c r="D30" s="7" t="inlineStr">
        <is>
          <t>https://www.douyin.com/search/%E6%B1%BD%E8%BD%A6%20%E5%BA%97%E6%80%BB</t>
        </is>
      </c>
      <c r="E30" s="2" t="inlineStr">
        <is>
          <t>入口未验证；不是视频案例</t>
        </is>
      </c>
      <c r="F30" s="2" t="inlineStr">
        <is>
          <t>2026-09-09至2026-10-08</t>
        </is>
      </c>
    </row>
    <row r="31" ht="40" customHeight="1">
      <c r="A31" s="3" t="inlineStr">
        <is>
          <t>小红书</t>
        </is>
      </c>
      <c r="B31" s="3" t="inlineStr">
        <is>
          <t>汽车 店总</t>
        </is>
      </c>
      <c r="C31" s="3" t="inlineStr">
        <is>
          <t>负责人表达与栏目</t>
        </is>
      </c>
      <c r="D31" s="8" t="inlineStr">
        <is>
          <t>https://www.xiaohongshu.com/search_result?keyword=%E6%B1%BD%E8%BD%A6%20%E5%BA%97%E6%80%BB</t>
        </is>
      </c>
      <c r="E31" s="3" t="inlineStr">
        <is>
          <t>入口未验证；不是视频案例</t>
        </is>
      </c>
      <c r="F31" s="3" t="inlineStr">
        <is>
          <t>2026-09-09至2026-10-08</t>
        </is>
      </c>
    </row>
    <row r="32" ht="40" customHeight="1">
      <c r="A32" s="2" t="inlineStr">
        <is>
          <t>B站（研究）</t>
        </is>
      </c>
      <c r="B32" s="2" t="inlineStr">
        <is>
          <t>汽车 店总</t>
        </is>
      </c>
      <c r="C32" s="2" t="inlineStr">
        <is>
          <t>负责人表达与栏目</t>
        </is>
      </c>
      <c r="D32" s="7" t="inlineStr">
        <is>
          <t>https://search.bilibili.com/all?keyword=%E6%B1%BD%E8%BD%A6%20%E5%BA%97%E6%80%BB</t>
        </is>
      </c>
      <c r="E32" s="2" t="inlineStr">
        <is>
          <t>入口未验证；不是视频案例</t>
        </is>
      </c>
      <c r="F32" s="2" t="inlineStr">
        <is>
          <t>2026-09-09至2026-10-08</t>
        </is>
      </c>
    </row>
    <row r="33" ht="40" customHeight="1">
      <c r="A33" s="3" t="inlineStr">
        <is>
          <t>视频号</t>
        </is>
      </c>
      <c r="B33" s="3" t="inlineStr">
        <is>
          <t>汽车 店总</t>
        </is>
      </c>
      <c r="C33" s="3" t="inlineStr">
        <is>
          <t>负责人表达与栏目</t>
        </is>
      </c>
      <c r="D33" s="3" t="inlineStr">
        <is>
          <t>微信内搜索视频号；核验账号、原视频与发布时间</t>
        </is>
      </c>
      <c r="E33" s="3" t="inlineStr">
        <is>
          <t>需平台内检索</t>
        </is>
      </c>
      <c r="F33" s="3" t="inlineStr">
        <is>
          <t>2026-09-09至2026-10-08</t>
        </is>
      </c>
    </row>
    <row r="34" ht="40" customHeight="1">
      <c r="A34" s="2" t="inlineStr">
        <is>
          <t>抖音</t>
        </is>
      </c>
      <c r="B34" s="2" t="inlineStr">
        <is>
          <t>4S店 总经理 买车</t>
        </is>
      </c>
      <c r="C34" s="2" t="inlineStr">
        <is>
          <t>店总观点与门店服务</t>
        </is>
      </c>
      <c r="D34" s="7" t="inlineStr">
        <is>
          <t>https://www.douyin.com/search/4S%E5%BA%97%20%E6%80%BB%E7%BB%8F%E7%90%86%20%E4%B9%B0%E8%BD%A6</t>
        </is>
      </c>
      <c r="E34" s="2" t="inlineStr">
        <is>
          <t>入口未验证；不是视频案例</t>
        </is>
      </c>
      <c r="F34" s="2" t="inlineStr">
        <is>
          <t>2026-09-09至2026-10-08</t>
        </is>
      </c>
    </row>
    <row r="35" ht="40" customHeight="1">
      <c r="A35" s="3" t="inlineStr">
        <is>
          <t>小红书</t>
        </is>
      </c>
      <c r="B35" s="3" t="inlineStr">
        <is>
          <t>4S店 总经理 买车</t>
        </is>
      </c>
      <c r="C35" s="3" t="inlineStr">
        <is>
          <t>店总观点与门店服务</t>
        </is>
      </c>
      <c r="D35" s="8" t="inlineStr">
        <is>
          <t>https://www.xiaohongshu.com/search_result?keyword=4S%E5%BA%97%20%E6%80%BB%E7%BB%8F%E7%90%86%20%E4%B9%B0%E8%BD%A6</t>
        </is>
      </c>
      <c r="E35" s="3" t="inlineStr">
        <is>
          <t>入口未验证；不是视频案例</t>
        </is>
      </c>
      <c r="F35" s="3" t="inlineStr">
        <is>
          <t>2026-09-09至2026-10-08</t>
        </is>
      </c>
    </row>
    <row r="36" ht="40" customHeight="1">
      <c r="A36" s="2" t="inlineStr">
        <is>
          <t>B站（研究）</t>
        </is>
      </c>
      <c r="B36" s="2" t="inlineStr">
        <is>
          <t>4S店 总经理 买车</t>
        </is>
      </c>
      <c r="C36" s="2" t="inlineStr">
        <is>
          <t>店总观点与门店服务</t>
        </is>
      </c>
      <c r="D36" s="7" t="inlineStr">
        <is>
          <t>https://search.bilibili.com/all?keyword=4S%E5%BA%97%20%E6%80%BB%E7%BB%8F%E7%90%86%20%E4%B9%B0%E8%BD%A6</t>
        </is>
      </c>
      <c r="E36" s="2" t="inlineStr">
        <is>
          <t>入口未验证；不是视频案例</t>
        </is>
      </c>
      <c r="F36" s="2" t="inlineStr">
        <is>
          <t>2026-09-09至2026-10-08</t>
        </is>
      </c>
    </row>
    <row r="37" ht="40" customHeight="1">
      <c r="A37" s="3" t="inlineStr">
        <is>
          <t>视频号</t>
        </is>
      </c>
      <c r="B37" s="3" t="inlineStr">
        <is>
          <t>4S店 总经理 买车</t>
        </is>
      </c>
      <c r="C37" s="3" t="inlineStr">
        <is>
          <t>店总观点与门店服务</t>
        </is>
      </c>
      <c r="D37" s="3" t="inlineStr">
        <is>
          <t>微信内搜索视频号；核验账号、原视频与发布时间</t>
        </is>
      </c>
      <c r="E37" s="3" t="inlineStr">
        <is>
          <t>需平台内检索</t>
        </is>
      </c>
      <c r="F37" s="3" t="inlineStr">
        <is>
          <t>2026-09-09至2026-10-08</t>
        </is>
      </c>
    </row>
    <row r="38" ht="40" customHeight="1">
      <c r="A38" s="2" t="inlineStr">
        <is>
          <t>抖音</t>
        </is>
      </c>
      <c r="B38" s="2" t="inlineStr">
        <is>
          <t>汽车 门店 试驾准备</t>
        </is>
      </c>
      <c r="C38" s="2" t="inlineStr">
        <is>
          <t>真实服务过程</t>
        </is>
      </c>
      <c r="D38" s="7" t="inlineStr">
        <is>
          <t>https://www.douyin.com/search/%E6%B1%BD%E8%BD%A6%20%E9%97%A8%E5%BA%97%20%E8%AF%95%E9%A9%BE%E5%87%86%E5%A4%87</t>
        </is>
      </c>
      <c r="E38" s="2" t="inlineStr">
        <is>
          <t>入口未验证；不是视频案例</t>
        </is>
      </c>
      <c r="F38" s="2" t="inlineStr">
        <is>
          <t>2026-09-09至2026-10-08</t>
        </is>
      </c>
    </row>
    <row r="39" ht="40" customHeight="1">
      <c r="A39" s="3" t="inlineStr">
        <is>
          <t>小红书</t>
        </is>
      </c>
      <c r="B39" s="3" t="inlineStr">
        <is>
          <t>汽车 门店 试驾准备</t>
        </is>
      </c>
      <c r="C39" s="3" t="inlineStr">
        <is>
          <t>真实服务过程</t>
        </is>
      </c>
      <c r="D39" s="8" t="inlineStr">
        <is>
          <t>https://www.xiaohongshu.com/search_result?keyword=%E6%B1%BD%E8%BD%A6%20%E9%97%A8%E5%BA%97%20%E8%AF%95%E9%A9%BE%E5%87%86%E5%A4%87</t>
        </is>
      </c>
      <c r="E39" s="3" t="inlineStr">
        <is>
          <t>入口未验证；不是视频案例</t>
        </is>
      </c>
      <c r="F39" s="3" t="inlineStr">
        <is>
          <t>2026-09-09至2026-10-08</t>
        </is>
      </c>
    </row>
    <row r="40" ht="40" customHeight="1">
      <c r="A40" s="2" t="inlineStr">
        <is>
          <t>B站（研究）</t>
        </is>
      </c>
      <c r="B40" s="2" t="inlineStr">
        <is>
          <t>汽车 门店 试驾准备</t>
        </is>
      </c>
      <c r="C40" s="2" t="inlineStr">
        <is>
          <t>真实服务过程</t>
        </is>
      </c>
      <c r="D40" s="7" t="inlineStr">
        <is>
          <t>https://search.bilibili.com/all?keyword=%E6%B1%BD%E8%BD%A6%20%E9%97%A8%E5%BA%97%20%E8%AF%95%E9%A9%BE%E5%87%86%E5%A4%87</t>
        </is>
      </c>
      <c r="E40" s="2" t="inlineStr">
        <is>
          <t>入口未验证；不是视频案例</t>
        </is>
      </c>
      <c r="F40" s="2" t="inlineStr">
        <is>
          <t>2026-09-09至2026-10-08</t>
        </is>
      </c>
    </row>
    <row r="41" ht="40" customHeight="1">
      <c r="A41" s="3" t="inlineStr">
        <is>
          <t>视频号</t>
        </is>
      </c>
      <c r="B41" s="3" t="inlineStr">
        <is>
          <t>汽车 门店 试驾准备</t>
        </is>
      </c>
      <c r="C41" s="3" t="inlineStr">
        <is>
          <t>真实服务过程</t>
        </is>
      </c>
      <c r="D41" s="3" t="inlineStr">
        <is>
          <t>微信内搜索视频号；核验账号、原视频与发布时间</t>
        </is>
      </c>
      <c r="E41" s="3" t="inlineStr">
        <is>
          <t>需平台内检索</t>
        </is>
      </c>
      <c r="F41" s="3" t="inlineStr">
        <is>
          <t>2026-09-09至2026-10-08</t>
        </is>
      </c>
    </row>
    <row r="42" ht="40" customHeight="1">
      <c r="A42" s="2" t="inlineStr">
        <is>
          <t>抖音</t>
        </is>
      </c>
      <c r="B42" s="2" t="inlineStr">
        <is>
          <t>汽车 实习生 日记</t>
        </is>
      </c>
      <c r="C42" s="2" t="inlineStr">
        <is>
          <t>成长叙事与学习证据</t>
        </is>
      </c>
      <c r="D42" s="7" t="inlineStr">
        <is>
          <t>https://www.douyin.com/search/%E6%B1%BD%E8%BD%A6%20%E5%AE%9E%E4%B9%A0%E7%94%9F%20%E6%97%A5%E8%AE%B0</t>
        </is>
      </c>
      <c r="E42" s="2" t="inlineStr">
        <is>
          <t>入口未验证；不是视频案例</t>
        </is>
      </c>
      <c r="F42" s="2" t="inlineStr">
        <is>
          <t>2026-09-09至2026-10-08</t>
        </is>
      </c>
    </row>
    <row r="43" ht="40" customHeight="1">
      <c r="A43" s="3" t="inlineStr">
        <is>
          <t>小红书</t>
        </is>
      </c>
      <c r="B43" s="3" t="inlineStr">
        <is>
          <t>汽车 实习生 日记</t>
        </is>
      </c>
      <c r="C43" s="3" t="inlineStr">
        <is>
          <t>成长叙事与学习证据</t>
        </is>
      </c>
      <c r="D43" s="8" t="inlineStr">
        <is>
          <t>https://www.xiaohongshu.com/search_result?keyword=%E6%B1%BD%E8%BD%A6%20%E5%AE%9E%E4%B9%A0%E7%94%9F%20%E6%97%A5%E8%AE%B0</t>
        </is>
      </c>
      <c r="E43" s="3" t="inlineStr">
        <is>
          <t>入口未验证；不是视频案例</t>
        </is>
      </c>
      <c r="F43" s="3" t="inlineStr">
        <is>
          <t>2026-09-09至2026-10-08</t>
        </is>
      </c>
    </row>
    <row r="44" ht="40" customHeight="1">
      <c r="A44" s="2" t="inlineStr">
        <is>
          <t>B站（研究）</t>
        </is>
      </c>
      <c r="B44" s="2" t="inlineStr">
        <is>
          <t>汽车 实习生 日记</t>
        </is>
      </c>
      <c r="C44" s="2" t="inlineStr">
        <is>
          <t>成长叙事与学习证据</t>
        </is>
      </c>
      <c r="D44" s="7" t="inlineStr">
        <is>
          <t>https://search.bilibili.com/all?keyword=%E6%B1%BD%E8%BD%A6%20%E5%AE%9E%E4%B9%A0%E7%94%9F%20%E6%97%A5%E8%AE%B0</t>
        </is>
      </c>
      <c r="E44" s="2" t="inlineStr">
        <is>
          <t>入口未验证；不是视频案例</t>
        </is>
      </c>
      <c r="F44" s="2" t="inlineStr">
        <is>
          <t>2026-09-09至2026-10-08</t>
        </is>
      </c>
    </row>
    <row r="45" ht="40" customHeight="1">
      <c r="A45" s="3" t="inlineStr">
        <is>
          <t>视频号</t>
        </is>
      </c>
      <c r="B45" s="3" t="inlineStr">
        <is>
          <t>汽车 实习生 日记</t>
        </is>
      </c>
      <c r="C45" s="3" t="inlineStr">
        <is>
          <t>成长叙事与学习证据</t>
        </is>
      </c>
      <c r="D45" s="3" t="inlineStr">
        <is>
          <t>微信内搜索视频号；核验账号、原视频与发布时间</t>
        </is>
      </c>
      <c r="E45" s="3" t="inlineStr">
        <is>
          <t>需平台内检索</t>
        </is>
      </c>
      <c r="F45" s="3" t="inlineStr">
        <is>
          <t>2026-09-09至2026-10-08</t>
        </is>
      </c>
    </row>
    <row r="46" ht="40" customHeight="1">
      <c r="A46" s="2" t="inlineStr">
        <is>
          <t>抖音</t>
        </is>
      </c>
      <c r="B46" s="2" t="inlineStr">
        <is>
          <t>佛山 汽车 选车</t>
        </is>
      </c>
      <c r="C46" s="2" t="inlineStr">
        <is>
          <t>本地客群问题</t>
        </is>
      </c>
      <c r="D46" s="7" t="inlineStr">
        <is>
          <t>https://www.douyin.com/search/%E4%BD%9B%E5%B1%B1%20%E6%B1%BD%E8%BD%A6%20%E9%80%89%E8%BD%A6</t>
        </is>
      </c>
      <c r="E46" s="2" t="inlineStr">
        <is>
          <t>入口未验证；不是视频案例</t>
        </is>
      </c>
      <c r="F46" s="2" t="inlineStr">
        <is>
          <t>2026-09-09至2026-10-08</t>
        </is>
      </c>
    </row>
    <row r="47" ht="40" customHeight="1">
      <c r="A47" s="3" t="inlineStr">
        <is>
          <t>小红书</t>
        </is>
      </c>
      <c r="B47" s="3" t="inlineStr">
        <is>
          <t>佛山 汽车 选车</t>
        </is>
      </c>
      <c r="C47" s="3" t="inlineStr">
        <is>
          <t>本地客群问题</t>
        </is>
      </c>
      <c r="D47" s="8" t="inlineStr">
        <is>
          <t>https://www.xiaohongshu.com/search_result?keyword=%E4%BD%9B%E5%B1%B1%20%E6%B1%BD%E8%BD%A6%20%E9%80%89%E8%BD%A6</t>
        </is>
      </c>
      <c r="E47" s="3" t="inlineStr">
        <is>
          <t>入口未验证；不是视频案例</t>
        </is>
      </c>
      <c r="F47" s="3" t="inlineStr">
        <is>
          <t>2026-09-09至2026-10-08</t>
        </is>
      </c>
    </row>
    <row r="48" ht="40" customHeight="1">
      <c r="A48" s="2" t="inlineStr">
        <is>
          <t>B站（研究）</t>
        </is>
      </c>
      <c r="B48" s="2" t="inlineStr">
        <is>
          <t>佛山 汽车 选车</t>
        </is>
      </c>
      <c r="C48" s="2" t="inlineStr">
        <is>
          <t>本地客群问题</t>
        </is>
      </c>
      <c r="D48" s="7" t="inlineStr">
        <is>
          <t>https://search.bilibili.com/all?keyword=%E4%BD%9B%E5%B1%B1%20%E6%B1%BD%E8%BD%A6%20%E9%80%89%E8%BD%A6</t>
        </is>
      </c>
      <c r="E48" s="2" t="inlineStr">
        <is>
          <t>入口未验证；不是视频案例</t>
        </is>
      </c>
      <c r="F48" s="2" t="inlineStr">
        <is>
          <t>2026-09-09至2026-10-08</t>
        </is>
      </c>
    </row>
    <row r="49" ht="40" customHeight="1">
      <c r="A49" s="3" t="inlineStr">
        <is>
          <t>视频号</t>
        </is>
      </c>
      <c r="B49" s="3" t="inlineStr">
        <is>
          <t>佛山 汽车 选车</t>
        </is>
      </c>
      <c r="C49" s="3" t="inlineStr">
        <is>
          <t>本地客群问题</t>
        </is>
      </c>
      <c r="D49" s="3" t="inlineStr">
        <is>
          <t>微信内搜索视频号；核验账号、原视频与发布时间</t>
        </is>
      </c>
      <c r="E49" s="3" t="inlineStr">
        <is>
          <t>需平台内检索</t>
        </is>
      </c>
      <c r="F49" s="3" t="inlineStr">
        <is>
          <t>2026-09-09至2026-10-08</t>
        </is>
      </c>
    </row>
    <row r="50" ht="40" customHeight="1">
      <c r="A50" s="2" t="inlineStr">
        <is>
          <t>抖音</t>
        </is>
      </c>
      <c r="B50" s="2" t="inlineStr">
        <is>
          <t>汽车 雨天 用车</t>
        </is>
      </c>
      <c r="C50" s="2" t="inlineStr">
        <is>
          <t>场景教学，不默认当期热点</t>
        </is>
      </c>
      <c r="D50" s="7" t="inlineStr">
        <is>
          <t>https://www.douyin.com/search/%E6%B1%BD%E8%BD%A6%20%E9%9B%A8%E5%A4%A9%20%E7%94%A8%E8%BD%A6</t>
        </is>
      </c>
      <c r="E50" s="2" t="inlineStr">
        <is>
          <t>入口未验证；不是视频案例</t>
        </is>
      </c>
      <c r="F50" s="2" t="inlineStr">
        <is>
          <t>2026-09-09至2026-10-08</t>
        </is>
      </c>
    </row>
    <row r="51" ht="40" customHeight="1">
      <c r="A51" s="3" t="inlineStr">
        <is>
          <t>小红书</t>
        </is>
      </c>
      <c r="B51" s="3" t="inlineStr">
        <is>
          <t>汽车 雨天 用车</t>
        </is>
      </c>
      <c r="C51" s="3" t="inlineStr">
        <is>
          <t>场景教学，不默认当期热点</t>
        </is>
      </c>
      <c r="D51" s="8" t="inlineStr">
        <is>
          <t>https://www.xiaohongshu.com/search_result?keyword=%E6%B1%BD%E8%BD%A6%20%E9%9B%A8%E5%A4%A9%20%E7%94%A8%E8%BD%A6</t>
        </is>
      </c>
      <c r="E51" s="3" t="inlineStr">
        <is>
          <t>入口未验证；不是视频案例</t>
        </is>
      </c>
      <c r="F51" s="3" t="inlineStr">
        <is>
          <t>2026-09-09至2026-10-08</t>
        </is>
      </c>
    </row>
    <row r="52" ht="40" customHeight="1">
      <c r="A52" s="2" t="inlineStr">
        <is>
          <t>B站（研究）</t>
        </is>
      </c>
      <c r="B52" s="2" t="inlineStr">
        <is>
          <t>汽车 雨天 用车</t>
        </is>
      </c>
      <c r="C52" s="2" t="inlineStr">
        <is>
          <t>场景教学，不默认当期热点</t>
        </is>
      </c>
      <c r="D52" s="7" t="inlineStr">
        <is>
          <t>https://search.bilibili.com/all?keyword=%E6%B1%BD%E8%BD%A6%20%E9%9B%A8%E5%A4%A9%20%E7%94%A8%E8%BD%A6</t>
        </is>
      </c>
      <c r="E52" s="2" t="inlineStr">
        <is>
          <t>入口未验证；不是视频案例</t>
        </is>
      </c>
      <c r="F52" s="2" t="inlineStr">
        <is>
          <t>2026-09-09至2026-10-08</t>
        </is>
      </c>
    </row>
    <row r="53" ht="40" customHeight="1">
      <c r="A53" s="3" t="inlineStr">
        <is>
          <t>视频号</t>
        </is>
      </c>
      <c r="B53" s="3" t="inlineStr">
        <is>
          <t>汽车 雨天 用车</t>
        </is>
      </c>
      <c r="C53" s="3" t="inlineStr">
        <is>
          <t>场景教学，不默认当期热点</t>
        </is>
      </c>
      <c r="D53" s="3" t="inlineStr">
        <is>
          <t>微信内搜索视频号；核验账号、原视频与发布时间</t>
        </is>
      </c>
      <c r="E53" s="3" t="inlineStr">
        <is>
          <t>需平台内检索</t>
        </is>
      </c>
      <c r="F53" s="3" t="inlineStr">
        <is>
          <t>2026-09-09至2026-10-08</t>
        </is>
      </c>
    </row>
    <row r="54" ht="40" customHeight="1">
      <c r="A54" s="2" t="inlineStr">
        <is>
          <t>抖音</t>
        </is>
      </c>
      <c r="B54" s="2" t="inlineStr">
        <is>
          <t>吉利银河 车型 配置</t>
        </is>
      </c>
      <c r="C54" s="2" t="inlineStr">
        <is>
          <t>替换为门店已确认主推车型</t>
        </is>
      </c>
      <c r="D54" s="7" t="inlineStr">
        <is>
          <t>https://www.douyin.com/search/%E5%90%89%E5%88%A9%E9%93%B6%E6%B2%B3%20%E8%BD%A6%E5%9E%8B%20%E9%85%8D%E7%BD%AE</t>
        </is>
      </c>
      <c r="E54" s="2" t="inlineStr">
        <is>
          <t>入口未验证；不是视频案例</t>
        </is>
      </c>
      <c r="F54" s="2" t="inlineStr">
        <is>
          <t>2026-09-09至2026-10-08</t>
        </is>
      </c>
    </row>
    <row r="55" ht="40" customHeight="1">
      <c r="A55" s="3" t="inlineStr">
        <is>
          <t>小红书</t>
        </is>
      </c>
      <c r="B55" s="3" t="inlineStr">
        <is>
          <t>吉利银河 车型 配置</t>
        </is>
      </c>
      <c r="C55" s="3" t="inlineStr">
        <is>
          <t>替换为门店已确认主推车型</t>
        </is>
      </c>
      <c r="D55" s="8" t="inlineStr">
        <is>
          <t>https://www.xiaohongshu.com/search_result?keyword=%E5%90%89%E5%88%A9%E9%93%B6%E6%B2%B3%20%E8%BD%A6%E5%9E%8B%20%E9%85%8D%E7%BD%AE</t>
        </is>
      </c>
      <c r="E55" s="3" t="inlineStr">
        <is>
          <t>入口未验证；不是视频案例</t>
        </is>
      </c>
      <c r="F55" s="3" t="inlineStr">
        <is>
          <t>2026-09-09至2026-10-08</t>
        </is>
      </c>
    </row>
    <row r="56" ht="40" customHeight="1">
      <c r="A56" s="2" t="inlineStr">
        <is>
          <t>B站（研究）</t>
        </is>
      </c>
      <c r="B56" s="2" t="inlineStr">
        <is>
          <t>吉利银河 车型 配置</t>
        </is>
      </c>
      <c r="C56" s="2" t="inlineStr">
        <is>
          <t>替换为门店已确认主推车型</t>
        </is>
      </c>
      <c r="D56" s="7" t="inlineStr">
        <is>
          <t>https://search.bilibili.com/all?keyword=%E5%90%89%E5%88%A9%E9%93%B6%E6%B2%B3%20%E8%BD%A6%E5%9E%8B%20%E9%85%8D%E7%BD%AE</t>
        </is>
      </c>
      <c r="E56" s="2" t="inlineStr">
        <is>
          <t>入口未验证；不是视频案例</t>
        </is>
      </c>
      <c r="F56" s="2" t="inlineStr">
        <is>
          <t>2026-09-09至2026-10-08</t>
        </is>
      </c>
    </row>
    <row r="57" ht="40" customHeight="1">
      <c r="A57" s="3" t="inlineStr">
        <is>
          <t>视频号</t>
        </is>
      </c>
      <c r="B57" s="3" t="inlineStr">
        <is>
          <t>吉利银河 车型 配置</t>
        </is>
      </c>
      <c r="C57" s="3" t="inlineStr">
        <is>
          <t>替换为门店已确认主推车型</t>
        </is>
      </c>
      <c r="D57" s="3" t="inlineStr">
        <is>
          <t>微信内搜索视频号；核验账号、原视频与发布时间</t>
        </is>
      </c>
      <c r="E57" s="3" t="inlineStr">
        <is>
          <t>需平台内检索</t>
        </is>
      </c>
      <c r="F57" s="3" t="inlineStr">
        <is>
          <t>2026-09-09至2026-10-08</t>
        </is>
      </c>
    </row>
    <row r="58" ht="40" customHeight="1">
      <c r="A58" s="2" t="inlineStr">
        <is>
          <t>抖音</t>
        </is>
      </c>
      <c r="B58" s="2" t="inlineStr">
        <is>
          <t>汽车 新手 停车</t>
        </is>
      </c>
      <c r="C58" s="2" t="inlineStr">
        <is>
          <t>完整动作和场景条件</t>
        </is>
      </c>
      <c r="D58" s="7" t="inlineStr">
        <is>
          <t>https://www.douyin.com/search/%E6%B1%BD%E8%BD%A6%20%E6%96%B0%E6%89%8B%20%E5%81%9C%E8%BD%A6</t>
        </is>
      </c>
      <c r="E58" s="2" t="inlineStr">
        <is>
          <t>入口未验证；不是视频案例</t>
        </is>
      </c>
      <c r="F58" s="2" t="inlineStr">
        <is>
          <t>2026-09-09至2026-10-08</t>
        </is>
      </c>
    </row>
    <row r="59" ht="40" customHeight="1">
      <c r="A59" s="3" t="inlineStr">
        <is>
          <t>小红书</t>
        </is>
      </c>
      <c r="B59" s="3" t="inlineStr">
        <is>
          <t>汽车 新手 停车</t>
        </is>
      </c>
      <c r="C59" s="3" t="inlineStr">
        <is>
          <t>完整动作和场景条件</t>
        </is>
      </c>
      <c r="D59" s="8" t="inlineStr">
        <is>
          <t>https://www.xiaohongshu.com/search_result?keyword=%E6%B1%BD%E8%BD%A6%20%E6%96%B0%E6%89%8B%20%E5%81%9C%E8%BD%A6</t>
        </is>
      </c>
      <c r="E59" s="3" t="inlineStr">
        <is>
          <t>入口未验证；不是视频案例</t>
        </is>
      </c>
      <c r="F59" s="3" t="inlineStr">
        <is>
          <t>2026-09-09至2026-10-08</t>
        </is>
      </c>
    </row>
    <row r="60" ht="40" customHeight="1">
      <c r="A60" s="2" t="inlineStr">
        <is>
          <t>B站（研究）</t>
        </is>
      </c>
      <c r="B60" s="2" t="inlineStr">
        <is>
          <t>汽车 新手 停车</t>
        </is>
      </c>
      <c r="C60" s="2" t="inlineStr">
        <is>
          <t>完整动作和场景条件</t>
        </is>
      </c>
      <c r="D60" s="7" t="inlineStr">
        <is>
          <t>https://search.bilibili.com/all?keyword=%E6%B1%BD%E8%BD%A6%20%E6%96%B0%E6%89%8B%20%E5%81%9C%E8%BD%A6</t>
        </is>
      </c>
      <c r="E60" s="2" t="inlineStr">
        <is>
          <t>入口未验证；不是视频案例</t>
        </is>
      </c>
      <c r="F60" s="2" t="inlineStr">
        <is>
          <t>2026-09-09至2026-10-08</t>
        </is>
      </c>
    </row>
    <row r="61" ht="40" customHeight="1">
      <c r="A61" s="3" t="inlineStr">
        <is>
          <t>视频号</t>
        </is>
      </c>
      <c r="B61" s="3" t="inlineStr">
        <is>
          <t>汽车 新手 停车</t>
        </is>
      </c>
      <c r="C61" s="3" t="inlineStr">
        <is>
          <t>完整动作和场景条件</t>
        </is>
      </c>
      <c r="D61" s="3" t="inlineStr">
        <is>
          <t>微信内搜索视频号；核验账号、原视频与发布时间</t>
        </is>
      </c>
      <c r="E61" s="3" t="inlineStr">
        <is>
          <t>需平台内检索</t>
        </is>
      </c>
      <c r="F61" s="3" t="inlineStr">
        <is>
          <t>2026-09-09至2026-10-08</t>
        </is>
      </c>
    </row>
    <row r="62" ht="40" customHeight="1">
      <c r="A62" s="2" t="inlineStr">
        <is>
          <t>抖音</t>
        </is>
      </c>
      <c r="B62" s="2" t="inlineStr">
        <is>
          <t>汽车 店总 服务</t>
        </is>
      </c>
      <c r="C62" s="2" t="inlineStr">
        <is>
          <t>服务细节与可信表达</t>
        </is>
      </c>
      <c r="D62" s="7" t="inlineStr">
        <is>
          <t>https://www.douyin.com/search/%E6%B1%BD%E8%BD%A6%20%E5%BA%97%E6%80%BB%20%E6%9C%8D%E5%8A%A1</t>
        </is>
      </c>
      <c r="E62" s="2" t="inlineStr">
        <is>
          <t>入口未验证；不是视频案例</t>
        </is>
      </c>
      <c r="F62" s="2" t="inlineStr">
        <is>
          <t>2026-09-09至2026-10-08</t>
        </is>
      </c>
    </row>
    <row r="63" ht="40" customHeight="1">
      <c r="A63" s="3" t="inlineStr">
        <is>
          <t>小红书</t>
        </is>
      </c>
      <c r="B63" s="3" t="inlineStr">
        <is>
          <t>汽车 店总 服务</t>
        </is>
      </c>
      <c r="C63" s="3" t="inlineStr">
        <is>
          <t>服务细节与可信表达</t>
        </is>
      </c>
      <c r="D63" s="8" t="inlineStr">
        <is>
          <t>https://www.xiaohongshu.com/search_result?keyword=%E6%B1%BD%E8%BD%A6%20%E5%BA%97%E6%80%BB%20%E6%9C%8D%E5%8A%A1</t>
        </is>
      </c>
      <c r="E63" s="3" t="inlineStr">
        <is>
          <t>入口未验证；不是视频案例</t>
        </is>
      </c>
      <c r="F63" s="3" t="inlineStr">
        <is>
          <t>2026-09-09至2026-10-08</t>
        </is>
      </c>
    </row>
    <row r="64" ht="40" customHeight="1">
      <c r="A64" s="2" t="inlineStr">
        <is>
          <t>B站（研究）</t>
        </is>
      </c>
      <c r="B64" s="2" t="inlineStr">
        <is>
          <t>汽车 店总 服务</t>
        </is>
      </c>
      <c r="C64" s="2" t="inlineStr">
        <is>
          <t>服务细节与可信表达</t>
        </is>
      </c>
      <c r="D64" s="7" t="inlineStr">
        <is>
          <t>https://search.bilibili.com/all?keyword=%E6%B1%BD%E8%BD%A6%20%E5%BA%97%E6%80%BB%20%E6%9C%8D%E5%8A%A1</t>
        </is>
      </c>
      <c r="E64" s="2" t="inlineStr">
        <is>
          <t>入口未验证；不是视频案例</t>
        </is>
      </c>
      <c r="F64" s="2" t="inlineStr">
        <is>
          <t>2026-09-09至2026-10-08</t>
        </is>
      </c>
    </row>
    <row r="65" ht="40" customHeight="1">
      <c r="A65" s="3" t="inlineStr">
        <is>
          <t>视频号</t>
        </is>
      </c>
      <c r="B65" s="3" t="inlineStr">
        <is>
          <t>汽车 店总 服务</t>
        </is>
      </c>
      <c r="C65" s="3" t="inlineStr">
        <is>
          <t>服务细节与可信表达</t>
        </is>
      </c>
      <c r="D65" s="3" t="inlineStr">
        <is>
          <t>微信内搜索视频号；核验账号、原视频与发布时间</t>
        </is>
      </c>
      <c r="E65" s="3" t="inlineStr">
        <is>
          <t>需平台内检索</t>
        </is>
      </c>
      <c r="F65" s="3" t="inlineStr">
        <is>
          <t>2026-09-09至2026-10-08</t>
        </is>
      </c>
    </row>
  </sheetData>
  <autoFilter ref="A1:F6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2" r:id="rId16"/>
    <hyperlink xmlns:r="http://schemas.openxmlformats.org/officeDocument/2006/relationships" ref="D23" r:id="rId17"/>
    <hyperlink xmlns:r="http://schemas.openxmlformats.org/officeDocument/2006/relationships" ref="D24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30" r:id="rId22"/>
    <hyperlink xmlns:r="http://schemas.openxmlformats.org/officeDocument/2006/relationships" ref="D31" r:id="rId23"/>
    <hyperlink xmlns:r="http://schemas.openxmlformats.org/officeDocument/2006/relationships" ref="D32" r:id="rId24"/>
    <hyperlink xmlns:r="http://schemas.openxmlformats.org/officeDocument/2006/relationships" ref="D34" r:id="rId25"/>
    <hyperlink xmlns:r="http://schemas.openxmlformats.org/officeDocument/2006/relationships" ref="D35" r:id="rId26"/>
    <hyperlink xmlns:r="http://schemas.openxmlformats.org/officeDocument/2006/relationships" ref="D36" r:id="rId27"/>
    <hyperlink xmlns:r="http://schemas.openxmlformats.org/officeDocument/2006/relationships" ref="D38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2" r:id="rId31"/>
    <hyperlink xmlns:r="http://schemas.openxmlformats.org/officeDocument/2006/relationships" ref="D43" r:id="rId32"/>
    <hyperlink xmlns:r="http://schemas.openxmlformats.org/officeDocument/2006/relationships" ref="D44" r:id="rId33"/>
    <hyperlink xmlns:r="http://schemas.openxmlformats.org/officeDocument/2006/relationships" ref="D46" r:id="rId34"/>
    <hyperlink xmlns:r="http://schemas.openxmlformats.org/officeDocument/2006/relationships" ref="D47" r:id="rId35"/>
    <hyperlink xmlns:r="http://schemas.openxmlformats.org/officeDocument/2006/relationships" ref="D48" r:id="rId36"/>
    <hyperlink xmlns:r="http://schemas.openxmlformats.org/officeDocument/2006/relationships" ref="D50" r:id="rId37"/>
    <hyperlink xmlns:r="http://schemas.openxmlformats.org/officeDocument/2006/relationships" ref="D51" r:id="rId38"/>
    <hyperlink xmlns:r="http://schemas.openxmlformats.org/officeDocument/2006/relationships" ref="D52" r:id="rId39"/>
    <hyperlink xmlns:r="http://schemas.openxmlformats.org/officeDocument/2006/relationships" ref="D54" r:id="rId40"/>
    <hyperlink xmlns:r="http://schemas.openxmlformats.org/officeDocument/2006/relationships" ref="D55" r:id="rId41"/>
    <hyperlink xmlns:r="http://schemas.openxmlformats.org/officeDocument/2006/relationships" ref="D56" r:id="rId42"/>
    <hyperlink xmlns:r="http://schemas.openxmlformats.org/officeDocument/2006/relationships" ref="D58" r:id="rId43"/>
    <hyperlink xmlns:r="http://schemas.openxmlformats.org/officeDocument/2006/relationships" ref="D59" r:id="rId44"/>
    <hyperlink xmlns:r="http://schemas.openxmlformats.org/officeDocument/2006/relationships" ref="D60" r:id="rId45"/>
    <hyperlink xmlns:r="http://schemas.openxmlformats.org/officeDocument/2006/relationships" ref="D62" r:id="rId46"/>
    <hyperlink xmlns:r="http://schemas.openxmlformats.org/officeDocument/2006/relationships" ref="D63" r:id="rId47"/>
    <hyperlink xmlns:r="http://schemas.openxmlformats.org/officeDocument/2006/relationships" ref="D64" r:id="rId48"/>
  </hyperlink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34" customHeight="1">
      <c r="A1" s="1" t="inlineStr">
        <is>
          <t>曲名/音频ID</t>
        </is>
      </c>
      <c r="B1" s="1" t="inlineStr">
        <is>
          <t>版本</t>
        </is>
      </c>
      <c r="C1" s="1" t="inlineStr">
        <is>
          <t>来源平台/库</t>
        </is>
      </c>
      <c r="D1" s="1" t="inlineStr">
        <is>
          <t>发现日期</t>
        </is>
      </c>
      <c r="E1" s="1" t="inlineStr">
        <is>
          <t>趋势原字段与时间</t>
        </is>
      </c>
      <c r="F1" s="1" t="inlineStr">
        <is>
          <t>自然发布许可</t>
        </is>
      </c>
      <c r="G1" s="1" t="inlineStr">
        <is>
          <t>商业推广许可</t>
        </is>
      </c>
      <c r="H1" s="1" t="inlineStr">
        <is>
          <t>投放许可</t>
        </is>
      </c>
      <c r="I1" s="1" t="inlineStr">
        <is>
          <t>跨平台许可</t>
        </is>
      </c>
      <c r="J1" s="1" t="inlineStr">
        <is>
          <t>证明位置</t>
        </is>
      </c>
      <c r="K1" s="1" t="inlineStr">
        <is>
          <t>核验人</t>
        </is>
      </c>
      <c r="L1" s="1" t="inlineStr">
        <is>
          <t>核验日期</t>
        </is>
      </c>
      <c r="M1" s="1" t="inlineStr">
        <is>
          <t>状态</t>
        </is>
      </c>
    </row>
    <row r="2" ht="4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 ht="4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 ht="4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 ht="4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 ht="4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 ht="40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 ht="40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 ht="4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 ht="40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 ht="4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 ht="40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 ht="4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 ht="40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 ht="4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 ht="40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 ht="4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 ht="40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 ht="4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</sheetData>
  <autoFilter ref="A1:M3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34" customHeight="1">
      <c r="A1" s="1" t="inlineStr">
        <is>
          <t>周次</t>
        </is>
      </c>
      <c r="B1" s="1" t="inlineStr">
        <is>
          <t>交付作品/素材</t>
        </is>
      </c>
      <c r="C1" s="1" t="inlineStr">
        <is>
          <t>主要学习</t>
        </is>
      </c>
      <c r="D1" s="1" t="inlineStr">
        <is>
          <t>真实反馈</t>
        </is>
      </c>
      <c r="E1" s="1" t="inlineStr">
        <is>
          <t>返工原因</t>
        </is>
      </c>
      <c r="F1" s="1" t="inlineStr">
        <is>
          <t>这次只改什么</t>
        </is>
      </c>
      <c r="G1" s="1" t="inlineStr">
        <is>
          <t>结果与观察窗口</t>
        </is>
      </c>
      <c r="H1" s="1" t="inlineStr">
        <is>
          <t>可能干扰</t>
        </is>
      </c>
      <c r="I1" s="1" t="inlineStr">
        <is>
          <t>下次动作</t>
        </is>
      </c>
      <c r="J1" s="1" t="inlineStr">
        <is>
          <t>需协助资源</t>
        </is>
      </c>
    </row>
    <row r="2" ht="4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 ht="4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4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 ht="4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</sheetData>
  <autoFilter ref="A1:J13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2026-10-08T12:48:13Z</dcterms:created>
  <dcterms:modified xmlns:dcterms="http://purl.org/dc/terms/" xmlns:xsi="http://www.w3.org/2001/XMLSchema-instance" xsi:type="dcterms:W3CDTF">2026-10-08T12:55:07Z</dcterms:modified>
</cp:coreProperties>
</file>